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sti\OneDrive\Desktop\"/>
    </mc:Choice>
  </mc:AlternateContent>
  <xr:revisionPtr revIDLastSave="0" documentId="13_ncr:1_{3E8F67EB-E945-4063-A716-BE0DF2458EED}" xr6:coauthVersionLast="47" xr6:coauthVersionMax="47" xr10:uidLastSave="{00000000-0000-0000-0000-000000000000}"/>
  <bookViews>
    <workbookView minimized="1" xWindow="192" yWindow="744" windowWidth="22848" windowHeight="12216" xr2:uid="{396197A9-4B9E-5645-8833-A8BE6741640D}"/>
  </bookViews>
  <sheets>
    <sheet name="Start Applied" sheetId="6" r:id="rId1"/>
    <sheet name="Start Pending" sheetId="7" r:id="rId2"/>
    <sheet name="End Applied" sheetId="2" r:id="rId3"/>
    <sheet name="End Pending" sheetId="5" r:id="rId4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7" l="1"/>
  <c r="H5" i="7"/>
  <c r="H6" i="7"/>
  <c r="H7" i="7"/>
  <c r="H8" i="7"/>
  <c r="H9" i="7"/>
  <c r="H10" i="7"/>
  <c r="H11" i="7"/>
  <c r="H12" i="7"/>
  <c r="H3" i="7"/>
  <c r="I45" i="6"/>
  <c r="I44" i="6"/>
  <c r="I43" i="6"/>
  <c r="O12" i="6" a="1"/>
  <c r="O12" i="6" s="1"/>
  <c r="P12" i="6" s="1"/>
  <c r="P4" i="6"/>
  <c r="P6" i="6"/>
  <c r="P7" i="6"/>
  <c r="P3" i="6"/>
  <c r="P9" i="6" s="1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H3" i="5"/>
  <c r="H4" i="5"/>
  <c r="H5" i="5"/>
  <c r="H6" i="5"/>
  <c r="H7" i="5"/>
  <c r="H8" i="5"/>
  <c r="H9" i="5"/>
  <c r="H10" i="5"/>
  <c r="H11" i="5"/>
  <c r="H12" i="5"/>
  <c r="O12" i="2" a="1"/>
  <c r="P4" i="2"/>
  <c r="P5" i="2"/>
  <c r="P6" i="2"/>
  <c r="P7" i="2"/>
  <c r="P3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M3" i="7" l="1"/>
  <c r="P8" i="6"/>
  <c r="P15" i="6"/>
  <c r="P14" i="6"/>
  <c r="M3" i="5"/>
  <c r="O12" i="2"/>
  <c r="P12" i="2" s="1"/>
  <c r="P13" i="2"/>
  <c r="P15" i="2"/>
  <c r="P14" i="2"/>
  <c r="P8" i="2"/>
  <c r="P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<sst xmlns="http://schemas.openxmlformats.org/spreadsheetml/2006/main" count="691" uniqueCount="247">
  <si>
    <t>#</t>
  </si>
  <si>
    <t>Company</t>
  </si>
  <si>
    <t>Position</t>
  </si>
  <si>
    <t>Location</t>
  </si>
  <si>
    <t>Job Type</t>
  </si>
  <si>
    <t>Date Applied</t>
  </si>
  <si>
    <t>Status</t>
  </si>
  <si>
    <t>Follow-Up Date</t>
  </si>
  <si>
    <t>Contact Person</t>
  </si>
  <si>
    <t>Salary Range</t>
  </si>
  <si>
    <t>Link / URL</t>
  </si>
  <si>
    <t>Notes</t>
  </si>
  <si>
    <t>Google</t>
  </si>
  <si>
    <t>Senior Software Engineer</t>
  </si>
  <si>
    <t>Mountain View, CA</t>
  </si>
  <si>
    <t>careers.google.com/jobs/123</t>
  </si>
  <si>
    <t>2nd round scheduled for next week</t>
  </si>
  <si>
    <t>Microsoft</t>
  </si>
  <si>
    <t>Product Manager</t>
  </si>
  <si>
    <t>Redmond, WA</t>
  </si>
  <si>
    <t>James Rodriguez</t>
  </si>
  <si>
    <t>$160K - $195K</t>
  </si>
  <si>
    <t>careers.microsoft.com/456</t>
  </si>
  <si>
    <t>Take-home assignment due Friday</t>
  </si>
  <si>
    <t>Stripe</t>
  </si>
  <si>
    <t>Data Analyst</t>
  </si>
  <si>
    <t>Remote</t>
  </si>
  <si>
    <t>$140K - $170K</t>
  </si>
  <si>
    <t>stripe.com/jobs/789</t>
  </si>
  <si>
    <t>Panel interview with 4 team members</t>
  </si>
  <si>
    <t>Amazon</t>
  </si>
  <si>
    <t>Solutions Architect</t>
  </si>
  <si>
    <t>Seattle, WA</t>
  </si>
  <si>
    <t>Offer</t>
  </si>
  <si>
    <t>Michael Torres</t>
  </si>
  <si>
    <t>$175K - $210K</t>
  </si>
  <si>
    <t>amazon.jobs/en/jobs/abc</t>
  </si>
  <si>
    <t>Offer letter received, reviewing terms</t>
  </si>
  <si>
    <t>Shopify</t>
  </si>
  <si>
    <t>Frontend Developer</t>
  </si>
  <si>
    <t>Lisa Wang</t>
  </si>
  <si>
    <t>$130K - $155K</t>
  </si>
  <si>
    <t>shopify.com/careers/dev</t>
  </si>
  <si>
    <t>30-min call with recruiter</t>
  </si>
  <si>
    <t>Meta</t>
  </si>
  <si>
    <t>ML Engineer</t>
  </si>
  <si>
    <t>Menlo Park, CA</t>
  </si>
  <si>
    <t>Rejected</t>
  </si>
  <si>
    <t>David Kim</t>
  </si>
  <si>
    <t>$190K - $230K</t>
  </si>
  <si>
    <t>metacareers.com/jobs/xyz</t>
  </si>
  <si>
    <t>Didn't pass system design round</t>
  </si>
  <si>
    <t>Figma</t>
  </si>
  <si>
    <t>UX Designer</t>
  </si>
  <si>
    <t>San Francisco, CA</t>
  </si>
  <si>
    <t>Applied</t>
  </si>
  <si>
    <t>$120K - $150K</t>
  </si>
  <si>
    <t>figma.com/careers</t>
  </si>
  <si>
    <t>Applied via company careers page</t>
  </si>
  <si>
    <t>Notion</t>
  </si>
  <si>
    <t>Backend Engineer</t>
  </si>
  <si>
    <t>New York, NY</t>
  </si>
  <si>
    <t>$150K - $180K</t>
  </si>
  <si>
    <t>notion.so/careers</t>
  </si>
  <si>
    <t>Referred by college friend</t>
  </si>
  <si>
    <t>Accenture</t>
  </si>
  <si>
    <t>Tech Consultant</t>
  </si>
  <si>
    <t>Chicago, IL</t>
  </si>
  <si>
    <t>Rachel Adams</t>
  </si>
  <si>
    <t>accenture.com/careers</t>
  </si>
  <si>
    <t>HubSpot</t>
  </si>
  <si>
    <t>Marketing Analyst Intern</t>
  </si>
  <si>
    <t>Boston, MA</t>
  </si>
  <si>
    <t>Tom Bradley</t>
  </si>
  <si>
    <t>hubspot.com/careers</t>
  </si>
  <si>
    <t>Withdrew after receiving Amazon offer</t>
  </si>
  <si>
    <t>Apple</t>
  </si>
  <si>
    <t>iOS Engineer</t>
  </si>
  <si>
    <t>Cupertino, CA</t>
  </si>
  <si>
    <t>Amy Liu</t>
  </si>
  <si>
    <t>$185K - $225K</t>
  </si>
  <si>
    <t>jobs.apple.com/en-us/details/200</t>
  </si>
  <si>
    <t>Made it to final round but lost out</t>
  </si>
  <si>
    <t>Salesforce</t>
  </si>
  <si>
    <t>Platform Engineer</t>
  </si>
  <si>
    <t>Derek Nguyen</t>
  </si>
  <si>
    <t>$165K - $200K</t>
  </si>
  <si>
    <t>salesforce.com/careers/789</t>
  </si>
  <si>
    <t>Hiring manager interview scheduled</t>
  </si>
  <si>
    <t>Netflix</t>
  </si>
  <si>
    <t>Data Engineer</t>
  </si>
  <si>
    <t>Los Gatos, CA</t>
  </si>
  <si>
    <t>$200K - $280K</t>
  </si>
  <si>
    <t>jobs.netflix.com/jobs/abc</t>
  </si>
  <si>
    <t>Top-of-market comp, worth following up</t>
  </si>
  <si>
    <t>Airbnb</t>
  </si>
  <si>
    <t>Full Stack Developer</t>
  </si>
  <si>
    <t>Carlos Mendez</t>
  </si>
  <si>
    <t>$155K - $185K</t>
  </si>
  <si>
    <t>careers.airbnb.com/positions/456</t>
  </si>
  <si>
    <t>Recruiter reached out after referral</t>
  </si>
  <si>
    <t>Coinbase</t>
  </si>
  <si>
    <t>Blockchain Engineer</t>
  </si>
  <si>
    <t>Nina Patel</t>
  </si>
  <si>
    <t>$170K - $210K</t>
  </si>
  <si>
    <t>coinbase.com/careers/eng</t>
  </si>
  <si>
    <t>Decided against crypto focus</t>
  </si>
  <si>
    <t>Databricks</t>
  </si>
  <si>
    <t>Solutions Engineer</t>
  </si>
  <si>
    <t>Kevin Park</t>
  </si>
  <si>
    <t>$175K - $215K</t>
  </si>
  <si>
    <t>databricks.com/company/careers</t>
  </si>
  <si>
    <t>SQL + Python coding challenge</t>
  </si>
  <si>
    <t>Uber</t>
  </si>
  <si>
    <t>Sam Taylor</t>
  </si>
  <si>
    <t>uber.com/careers/list/132</t>
  </si>
  <si>
    <t>Rejected after first phone screen</t>
  </si>
  <si>
    <t>Palantir</t>
  </si>
  <si>
    <t>Forward Deployed Engineer</t>
  </si>
  <si>
    <t>Washington, DC</t>
  </si>
  <si>
    <t>Jessica Huang</t>
  </si>
  <si>
    <t>$145K - $180K</t>
  </si>
  <si>
    <t>palantir.com/careers</t>
  </si>
  <si>
    <t>Super Day with 5 back-to-back interviews</t>
  </si>
  <si>
    <t>Twilio</t>
  </si>
  <si>
    <t>API Developer</t>
  </si>
  <si>
    <t>$135K - $165K</t>
  </si>
  <si>
    <t>twilio.com/company/jobs</t>
  </si>
  <si>
    <t>Interesting API-first company</t>
  </si>
  <si>
    <t>Snowflake</t>
  </si>
  <si>
    <t>Cloud Engineer</t>
  </si>
  <si>
    <t>Bellevue, WA</t>
  </si>
  <si>
    <t>Brandon Cole</t>
  </si>
  <si>
    <t>$170K - $205K</t>
  </si>
  <si>
    <t>careers.snowflake.com/us</t>
  </si>
  <si>
    <t>Recruiter said team is growing fast</t>
  </si>
  <si>
    <t>Spotify</t>
  </si>
  <si>
    <t>ML Research Scientist</t>
  </si>
  <si>
    <t>Elina Petrova</t>
  </si>
  <si>
    <t>$175K - $220K</t>
  </si>
  <si>
    <t>lifeatspotify.com/jobs</t>
  </si>
  <si>
    <t>Focus on recommendation algorithms</t>
  </si>
  <si>
    <t>Square</t>
  </si>
  <si>
    <t>Security Engineer</t>
  </si>
  <si>
    <t>$155K - $190K</t>
  </si>
  <si>
    <t>squareup.com/careers</t>
  </si>
  <si>
    <t>Applied 2 weeks ago, no update</t>
  </si>
  <si>
    <t>Atlassian</t>
  </si>
  <si>
    <t>Product Designer</t>
  </si>
  <si>
    <t>Mark Sullivan</t>
  </si>
  <si>
    <t>$130K - $160K</t>
  </si>
  <si>
    <t>atlassian.com/company/careers</t>
  </si>
  <si>
    <t>Friend on the design team referred me</t>
  </si>
  <si>
    <t>Plaid</t>
  </si>
  <si>
    <t>Dana Reeves</t>
  </si>
  <si>
    <t>plaid.com/careers</t>
  </si>
  <si>
    <t>Strong offer, negotiating equity</t>
  </si>
  <si>
    <t>Canva</t>
  </si>
  <si>
    <t>Frontend Engineer</t>
  </si>
  <si>
    <t>canva.com/careers</t>
  </si>
  <si>
    <t>Excited about the design tools space</t>
  </si>
  <si>
    <t>In-Person</t>
  </si>
  <si>
    <t>Hybrid</t>
  </si>
  <si>
    <t>6-month Hybrid, possible extension</t>
  </si>
  <si>
    <t>NA</t>
  </si>
  <si>
    <t>Deadline</t>
  </si>
  <si>
    <t>Days Left to Apply</t>
  </si>
  <si>
    <t>Assessment</t>
  </si>
  <si>
    <t>Interview</t>
  </si>
  <si>
    <t>Status Options</t>
  </si>
  <si>
    <t>Travel</t>
  </si>
  <si>
    <t>Total</t>
  </si>
  <si>
    <t>OpenAI</t>
  </si>
  <si>
    <t>Prompt Engineer</t>
  </si>
  <si>
    <t>4/22/2026</t>
  </si>
  <si>
    <t>$160K - $200K</t>
  </si>
  <si>
    <t>openai.com/careers</t>
  </si>
  <si>
    <t>Applied via referral from ex-colleague</t>
  </si>
  <si>
    <t>Anthropic</t>
  </si>
  <si>
    <t>Research Engineer</t>
  </si>
  <si>
    <t>4/16/2026</t>
  </si>
  <si>
    <t>4/23/2026</t>
  </si>
  <si>
    <t>$180K - $220K</t>
  </si>
  <si>
    <t>anthropic.com/careers</t>
  </si>
  <si>
    <t>Strong interest in AI safety focus</t>
  </si>
  <si>
    <t>LinkedIn</t>
  </si>
  <si>
    <t>Data Scientist</t>
  </si>
  <si>
    <t>Sunnyvale, CA</t>
  </si>
  <si>
    <t>4/17/2026</t>
  </si>
  <si>
    <t>linkedin.com/jobs/view/123</t>
  </si>
  <si>
    <t>Recruiter reached out directly via platform</t>
  </si>
  <si>
    <t>Cloudflare</t>
  </si>
  <si>
    <t>Network Engineer</t>
  </si>
  <si>
    <t>Austin, TX</t>
  </si>
  <si>
    <t>4/20/2026</t>
  </si>
  <si>
    <t>$150K - $185K</t>
  </si>
  <si>
    <t>cloudflare.com/careers</t>
  </si>
  <si>
    <t>Take-home infra design challenge</t>
  </si>
  <si>
    <t>Vercel</t>
  </si>
  <si>
    <t>4/25/2026</t>
  </si>
  <si>
    <t>$145K - $175K</t>
  </si>
  <si>
    <t>vercel.com/careers</t>
  </si>
  <si>
    <t>Huge fan of the product, cold applied</t>
  </si>
  <si>
    <t>Rippling</t>
  </si>
  <si>
    <t>Software Engineer</t>
  </si>
  <si>
    <t>$165K - $205K</t>
  </si>
  <si>
    <t>rippling.com/careers</t>
  </si>
  <si>
    <t>Fast-growing HR-tech startup</t>
  </si>
  <si>
    <t>Brex</t>
  </si>
  <si>
    <t>Full Stack Engineer</t>
  </si>
  <si>
    <t>4/21/2026</t>
  </si>
  <si>
    <t>brex.com/careers</t>
  </si>
  <si>
    <t>Coding challenge: system design + React</t>
  </si>
  <si>
    <t>Scale AI</t>
  </si>
  <si>
    <t>ML Infrastructure Engineer</t>
  </si>
  <si>
    <t>scale.com/careers</t>
  </si>
  <si>
    <t>Interested in data labeling infra space</t>
  </si>
  <si>
    <t>Airtable</t>
  </si>
  <si>
    <t>Product Engineer</t>
  </si>
  <si>
    <t>4/18/2026</t>
  </si>
  <si>
    <t>airtable.com/jobs</t>
  </si>
  <si>
    <t>Referred by a friend on the eng team</t>
  </si>
  <si>
    <t>Ramp</t>
  </si>
  <si>
    <t>4/24/2026</t>
  </si>
  <si>
    <t>ramp.com/careers</t>
  </si>
  <si>
    <t>Fintech startup with strong growth metrics</t>
  </si>
  <si>
    <t>Link</t>
  </si>
  <si>
    <t>Active</t>
  </si>
  <si>
    <t>Job Types</t>
  </si>
  <si>
    <t>Justin</t>
  </si>
  <si>
    <t>sai</t>
  </si>
  <si>
    <t>charan</t>
  </si>
  <si>
    <t>CEO</t>
  </si>
  <si>
    <t>CTC</t>
  </si>
  <si>
    <t>sr.lawadoper</t>
  </si>
  <si>
    <t>Russia</t>
  </si>
  <si>
    <t>India</t>
  </si>
  <si>
    <t>Meenakshi</t>
  </si>
  <si>
    <t>Karunya</t>
  </si>
  <si>
    <t>Chandini</t>
  </si>
  <si>
    <t>homework.google.com/sadhuvubiddalu/143</t>
  </si>
  <si>
    <t>kirana.google.com/kaarunaoopiri/143</t>
  </si>
  <si>
    <t>charan.google.com/chandininagunde/143</t>
  </si>
  <si>
    <t>Sincere to work</t>
  </si>
  <si>
    <t>Negotiating equity, Hiring manager</t>
  </si>
  <si>
    <t>$190k-$200k</t>
  </si>
  <si>
    <t>Sincere to work,  SQL+Python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</si>
</sst>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[$-F800]dddd\,\ mmmm\ dd\,\ yyyy"/>
  </numFmts>
  <fonts count="5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</cellXfs>
  <cellStyles count="3">
    <cellStyle name="Hyperlink 2" xfId="2" xr:uid="{F724B9B1-9F8A-AC4A-B06B-1F420E4D5247}"/>
    <cellStyle name="Normal" xfId="0" builtinId="0"/>
    <cellStyle name="Normal 2 2" xfId="1" xr:uid="{2772268B-F37C-D047-9F7A-B114B234246A}"/>
  </cellStyles>
  <dxfs count="51"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  <border>
        <top style="thin">
          <color auto="1"/>
        </top>
        <bottom style="thin">
          <color auto="1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  <border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73673"/>
        </patternFill>
      </fill>
    </dxf>
    <dxf>
      <numFmt numFmtId="164" formatCode="d"/>
      <alignment horizontal="center" vertical="bottom" textRotation="0" wrapText="0" indent="0" justifyLastLine="0" shrinkToFit="0" readingOrder="0"/>
    </dxf>
    <dxf>
      <numFmt numFmtId="165" formatCode="[$-F800]dddd\,\ mmmm\ dd\,\ yyyy"/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073673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  <dxf>
      <numFmt numFmtId="164" formatCode="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073673"/>
        </patternFill>
      </fill>
    </dxf>
  </dxfs>
  <tableStyles count="0" defaultTableStyle="TableStyleMedium2" defaultPivotStyle="PivotStyleLight16"/>
  <colors>
    <mruColors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73425196850397"/>
          <c:y val="1.8518518518518517E-2"/>
          <c:w val="0.80671019247594056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'Start Applied'!$O$3:$O$7</c:f>
              <c:strCache>
                <c:ptCount val="5"/>
                <c:pt idx="0">
                  <c:v>Applied</c:v>
                </c:pt>
                <c:pt idx="1">
                  <c:v>Assessment</c:v>
                </c:pt>
                <c:pt idx="2">
                  <c:v>Interview</c:v>
                </c:pt>
                <c:pt idx="3">
                  <c:v>Offer</c:v>
                </c:pt>
                <c:pt idx="4">
                  <c:v>Rejected</c:v>
                </c:pt>
              </c:strCache>
            </c:strRef>
          </c:cat>
          <c:val>
            <c:numRef>
              <c:f>'Start Applied'!$P$3:$P$7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F-4EB5-8F16-F8087B8003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742946880"/>
        <c:axId val="1742944000"/>
      </c:barChart>
      <c:catAx>
        <c:axId val="1742946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44000"/>
        <c:crosses val="autoZero"/>
        <c:auto val="1"/>
        <c:lblAlgn val="ctr"/>
        <c:lblOffset val="100"/>
        <c:noMultiLvlLbl val="0"/>
      </c:catAx>
      <c:valAx>
        <c:axId val="17429440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294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63858036964565"/>
          <c:y val="0.18305598669732015"/>
          <c:w val="0.87136141963035441"/>
          <c:h val="0.8169440133026798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'Start Applied'!$O$12:$O$15</c:f>
              <c:strCache>
                <c:ptCount val="4"/>
                <c:pt idx="0">
                  <c:v>In-Person</c:v>
                </c:pt>
                <c:pt idx="1">
                  <c:v>Remote</c:v>
                </c:pt>
                <c:pt idx="2">
                  <c:v>Travel</c:v>
                </c:pt>
                <c:pt idx="3">
                  <c:v>Hybrid</c:v>
                </c:pt>
              </c:strCache>
            </c:strRef>
          </c:cat>
          <c:val>
            <c:numRef>
              <c:f>'Start Applied'!$P$12:$P$15</c:f>
              <c:numCache>
                <c:formatCode>General</c:formatCode>
                <c:ptCount val="4"/>
                <c:pt idx="0">
                  <c:v>16</c:v>
                </c:pt>
                <c:pt idx="1">
                  <c:v>7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1-4D8D-9EB2-5F6FFD9B43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742920960"/>
        <c:axId val="1742918560"/>
      </c:barChart>
      <c:catAx>
        <c:axId val="17429209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18560"/>
        <c:crosses val="autoZero"/>
        <c:auto val="1"/>
        <c:lblAlgn val="ctr"/>
        <c:lblOffset val="100"/>
        <c:noMultiLvlLbl val="0"/>
      </c:catAx>
      <c:valAx>
        <c:axId val="174291856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74292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'End Applied'!$O$3:$O$7</c:f>
              <c:strCache>
                <c:ptCount val="5"/>
                <c:pt idx="0">
                  <c:v>Applied</c:v>
                </c:pt>
                <c:pt idx="1">
                  <c:v>Assessment</c:v>
                </c:pt>
                <c:pt idx="2">
                  <c:v>Interview</c:v>
                </c:pt>
                <c:pt idx="3">
                  <c:v>Offer</c:v>
                </c:pt>
                <c:pt idx="4">
                  <c:v>Rejected</c:v>
                </c:pt>
              </c:strCache>
            </c:strRef>
          </c:cat>
          <c:val>
            <c:numRef>
              <c:f>'End Applied'!$P$3:$P$7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1-48EC-B481-F41E8BF23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axId val="1615011488"/>
        <c:axId val="1615008128"/>
      </c:barChart>
      <c:catAx>
        <c:axId val="1615011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008128"/>
        <c:crosses val="autoZero"/>
        <c:auto val="1"/>
        <c:lblAlgn val="ctr"/>
        <c:lblOffset val="100"/>
        <c:noMultiLvlLbl val="0"/>
      </c:catAx>
      <c:valAx>
        <c:axId val="161500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1501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'End Applied'!$O$12:$O$15</c:f>
              <c:strCache>
                <c:ptCount val="4"/>
                <c:pt idx="0">
                  <c:v>In-Person</c:v>
                </c:pt>
                <c:pt idx="1">
                  <c:v>Remote</c:v>
                </c:pt>
                <c:pt idx="2">
                  <c:v>Travel</c:v>
                </c:pt>
                <c:pt idx="3">
                  <c:v>Hybrid</c:v>
                </c:pt>
              </c:strCache>
            </c:strRef>
          </c:cat>
          <c:val>
            <c:numRef>
              <c:f>'End Applied'!$P$12:$P$15</c:f>
              <c:numCache>
                <c:formatCode>General</c:formatCode>
                <c:ptCount val="4"/>
                <c:pt idx="0">
                  <c:v>14</c:v>
                </c:pt>
                <c:pt idx="1">
                  <c:v>7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1-48EC-B481-F41E8BF23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axId val="1615011488"/>
        <c:axId val="1615008128"/>
      </c:barChart>
      <c:catAx>
        <c:axId val="16150114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008128"/>
        <c:crosses val="autoZero"/>
        <c:auto val="1"/>
        <c:lblAlgn val="ctr"/>
        <c:lblOffset val="100"/>
        <c:noMultiLvlLbl val="0"/>
      </c:catAx>
      <c:valAx>
        <c:axId val="1615008128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61501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12096</xdr:colOff>
      <xdr:row>4</xdr:row>
      <xdr:rowOff>36285</xdr:rowOff>
    </xdr:from>
    <xdr:to>
      <xdr:col>3</xdr:col>
      <xdr:colOff>24191</xdr:colOff>
      <xdr:row>9</xdr:row>
      <xdr:rowOff>48381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19C7900E-3872-40FC-BA76-67B8C68F8ED3}"/>
            </a:ext>
          </a:extLst>
        </xdr:cNvPr>
        <xdr:cNvSpPr/>
      </xdr:nvSpPr>
      <xdr:spPr>
        <a:xfrm>
          <a:off x="314477" y="810380"/>
          <a:ext cx="1136952" cy="979715"/>
        </a:xfrm>
        <a:prstGeom prst="roundRect">
          <a:avLst>
            <a:gd name="adj" fmla="val 10985"/>
          </a:avLst>
        </a:prstGeom>
        <a:gradFill>
          <a:gsLst>
            <a:gs pos="17000">
              <a:srgbClr val="073673"/>
            </a:gs>
            <a:gs pos="53000">
              <a:schemeClr val="tx2">
                <a:lumMod val="50000"/>
                <a:lumOff val="50000"/>
              </a:schemeClr>
            </a:gs>
            <a:gs pos="72000">
              <a:schemeClr val="tx2">
                <a:lumMod val="25000"/>
                <a:lumOff val="75000"/>
              </a:schemeClr>
            </a:gs>
            <a:gs pos="99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3</xdr:col>
      <xdr:colOff>12095</xdr:colOff>
      <xdr:row>15</xdr:row>
      <xdr:rowOff>24191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3A109956-3AE8-42AC-954B-52CE78D4A0ED}"/>
            </a:ext>
          </a:extLst>
        </xdr:cNvPr>
        <xdr:cNvSpPr/>
      </xdr:nvSpPr>
      <xdr:spPr>
        <a:xfrm>
          <a:off x="302381" y="1935238"/>
          <a:ext cx="1136952" cy="991810"/>
        </a:xfrm>
        <a:prstGeom prst="roundRect">
          <a:avLst>
            <a:gd name="adj" fmla="val 10985"/>
          </a:avLst>
        </a:prstGeom>
        <a:gradFill>
          <a:gsLst>
            <a:gs pos="17000">
              <a:srgbClr val="073673"/>
            </a:gs>
            <a:gs pos="53000">
              <a:schemeClr val="tx2">
                <a:lumMod val="50000"/>
                <a:lumOff val="50000"/>
              </a:schemeClr>
            </a:gs>
            <a:gs pos="72000">
              <a:schemeClr val="tx2">
                <a:lumMod val="25000"/>
                <a:lumOff val="75000"/>
              </a:schemeClr>
            </a:gs>
            <a:gs pos="99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217715</xdr:colOff>
      <xdr:row>4</xdr:row>
      <xdr:rowOff>12095</xdr:rowOff>
    </xdr:from>
    <xdr:to>
      <xdr:col>3</xdr:col>
      <xdr:colOff>1354667</xdr:colOff>
      <xdr:row>9</xdr:row>
      <xdr:rowOff>24191</xdr:rowOff>
    </xdr:to>
    <xdr:sp macro="" textlink="">
      <xdr:nvSpPr>
        <xdr:cNvPr id="10" name="Rounded Rectangle 1">
          <a:extLst>
            <a:ext uri="{FF2B5EF4-FFF2-40B4-BE49-F238E27FC236}">
              <a16:creationId xmlns:a16="http://schemas.microsoft.com/office/drawing/2014/main" id="{7E8308A1-767D-43CF-9492-44199B4F786E}"/>
            </a:ext>
          </a:extLst>
        </xdr:cNvPr>
        <xdr:cNvSpPr/>
      </xdr:nvSpPr>
      <xdr:spPr>
        <a:xfrm>
          <a:off x="1644953" y="786190"/>
          <a:ext cx="1136952" cy="979715"/>
        </a:xfrm>
        <a:prstGeom prst="roundRect">
          <a:avLst>
            <a:gd name="adj" fmla="val 10985"/>
          </a:avLst>
        </a:prstGeom>
        <a:gradFill>
          <a:gsLst>
            <a:gs pos="17000">
              <a:srgbClr val="073673"/>
            </a:gs>
            <a:gs pos="53000">
              <a:schemeClr val="tx2">
                <a:lumMod val="50000"/>
                <a:lumOff val="50000"/>
              </a:schemeClr>
            </a:gs>
            <a:gs pos="72000">
              <a:schemeClr val="tx2">
                <a:lumMod val="25000"/>
                <a:lumOff val="75000"/>
              </a:schemeClr>
            </a:gs>
            <a:gs pos="99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241905</xdr:colOff>
      <xdr:row>9</xdr:row>
      <xdr:rowOff>181429</xdr:rowOff>
    </xdr:from>
    <xdr:to>
      <xdr:col>3</xdr:col>
      <xdr:colOff>1378857</xdr:colOff>
      <xdr:row>15</xdr:row>
      <xdr:rowOff>1</xdr:rowOff>
    </xdr:to>
    <xdr:sp macro="" textlink="">
      <xdr:nvSpPr>
        <xdr:cNvPr id="11" name="Rounded Rectangle 1">
          <a:extLst>
            <a:ext uri="{FF2B5EF4-FFF2-40B4-BE49-F238E27FC236}">
              <a16:creationId xmlns:a16="http://schemas.microsoft.com/office/drawing/2014/main" id="{3C398C3F-8F1C-4EFF-8E4C-8E7B61210CAD}"/>
            </a:ext>
          </a:extLst>
        </xdr:cNvPr>
        <xdr:cNvSpPr/>
      </xdr:nvSpPr>
      <xdr:spPr>
        <a:xfrm>
          <a:off x="1669143" y="1923143"/>
          <a:ext cx="1136952" cy="979715"/>
        </a:xfrm>
        <a:prstGeom prst="roundRect">
          <a:avLst>
            <a:gd name="adj" fmla="val 10985"/>
          </a:avLst>
        </a:prstGeom>
        <a:gradFill>
          <a:gsLst>
            <a:gs pos="17000">
              <a:srgbClr val="073673"/>
            </a:gs>
            <a:gs pos="53000">
              <a:schemeClr val="tx2">
                <a:lumMod val="50000"/>
                <a:lumOff val="50000"/>
              </a:schemeClr>
            </a:gs>
            <a:gs pos="72000">
              <a:schemeClr val="tx2">
                <a:lumMod val="25000"/>
                <a:lumOff val="75000"/>
              </a:schemeClr>
            </a:gs>
            <a:gs pos="99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0</xdr:colOff>
      <xdr:row>4</xdr:row>
      <xdr:rowOff>12095</xdr:rowOff>
    </xdr:from>
    <xdr:to>
      <xdr:col>9</xdr:col>
      <xdr:colOff>713620</xdr:colOff>
      <xdr:row>15</xdr:row>
      <xdr:rowOff>2</xdr:rowOff>
    </xdr:to>
    <xdr:sp macro="" textlink="">
      <xdr:nvSpPr>
        <xdr:cNvPr id="12" name="Rounded Rectangle 1">
          <a:extLst>
            <a:ext uri="{FF2B5EF4-FFF2-40B4-BE49-F238E27FC236}">
              <a16:creationId xmlns:a16="http://schemas.microsoft.com/office/drawing/2014/main" id="{C30D0A57-52C2-4129-BEA1-3C093AE058BF}"/>
            </a:ext>
          </a:extLst>
        </xdr:cNvPr>
        <xdr:cNvSpPr/>
      </xdr:nvSpPr>
      <xdr:spPr>
        <a:xfrm>
          <a:off x="3205238" y="786190"/>
          <a:ext cx="5660572" cy="2116669"/>
        </a:xfrm>
        <a:prstGeom prst="roundRect">
          <a:avLst>
            <a:gd name="adj" fmla="val 10985"/>
          </a:avLst>
        </a:prstGeom>
        <a:gradFill>
          <a:gsLst>
            <a:gs pos="17000">
              <a:srgbClr val="073673"/>
            </a:gs>
            <a:gs pos="53000">
              <a:schemeClr val="tx2">
                <a:lumMod val="50000"/>
                <a:lumOff val="50000"/>
              </a:schemeClr>
            </a:gs>
            <a:gs pos="72000">
              <a:schemeClr val="tx2">
                <a:lumMod val="25000"/>
                <a:lumOff val="75000"/>
              </a:schemeClr>
            </a:gs>
            <a:gs pos="99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12095</xdr:colOff>
      <xdr:row>0</xdr:row>
      <xdr:rowOff>12097</xdr:rowOff>
    </xdr:from>
    <xdr:to>
      <xdr:col>13</xdr:col>
      <xdr:colOff>12095</xdr:colOff>
      <xdr:row>3</xdr:row>
      <xdr:rowOff>12096</xdr:rowOff>
    </xdr:to>
    <xdr:sp macro="" textlink="">
      <xdr:nvSpPr>
        <xdr:cNvPr id="13" name="Rounded Rectangle 1">
          <a:extLst>
            <a:ext uri="{FF2B5EF4-FFF2-40B4-BE49-F238E27FC236}">
              <a16:creationId xmlns:a16="http://schemas.microsoft.com/office/drawing/2014/main" id="{5711A363-7AFA-42D6-91A0-B347C9FE9624}"/>
            </a:ext>
          </a:extLst>
        </xdr:cNvPr>
        <xdr:cNvSpPr/>
      </xdr:nvSpPr>
      <xdr:spPr>
        <a:xfrm>
          <a:off x="314476" y="12097"/>
          <a:ext cx="14828762" cy="580570"/>
        </a:xfrm>
        <a:prstGeom prst="roundRect">
          <a:avLst>
            <a:gd name="adj" fmla="val 10985"/>
          </a:avLst>
        </a:prstGeom>
        <a:gradFill>
          <a:gsLst>
            <a:gs pos="17000">
              <a:srgbClr val="073673"/>
            </a:gs>
            <a:gs pos="53000">
              <a:schemeClr val="tx2">
                <a:lumMod val="50000"/>
                <a:lumOff val="50000"/>
              </a:schemeClr>
            </a:gs>
            <a:gs pos="72000">
              <a:schemeClr val="tx2">
                <a:lumMod val="25000"/>
                <a:lumOff val="75000"/>
              </a:schemeClr>
            </a:gs>
            <a:gs pos="99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2000" b="1">
              <a:solidFill>
                <a:schemeClr val="lt1"/>
              </a:solidFill>
              <a:latin typeface="+mn-lt"/>
              <a:ea typeface="+mn-ea"/>
              <a:cs typeface="+mn-cs"/>
            </a:rPr>
            <a:t>Job Application</a:t>
          </a:r>
          <a:r>
            <a:rPr lang="en-US" sz="20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Tracker</a:t>
          </a:r>
          <a:endParaRPr lang="en-US" sz="20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919236</xdr:colOff>
      <xdr:row>3</xdr:row>
      <xdr:rowOff>181429</xdr:rowOff>
    </xdr:from>
    <xdr:to>
      <xdr:col>13</xdr:col>
      <xdr:colOff>12094</xdr:colOff>
      <xdr:row>14</xdr:row>
      <xdr:rowOff>169336</xdr:rowOff>
    </xdr:to>
    <xdr:sp macro="" textlink="">
      <xdr:nvSpPr>
        <xdr:cNvPr id="14" name="Rounded Rectangle 1">
          <a:extLst>
            <a:ext uri="{FF2B5EF4-FFF2-40B4-BE49-F238E27FC236}">
              <a16:creationId xmlns:a16="http://schemas.microsoft.com/office/drawing/2014/main" id="{3920C013-CE94-4801-B8F1-3926CCEF626B}"/>
            </a:ext>
          </a:extLst>
        </xdr:cNvPr>
        <xdr:cNvSpPr/>
      </xdr:nvSpPr>
      <xdr:spPr>
        <a:xfrm>
          <a:off x="9071426" y="762000"/>
          <a:ext cx="6071811" cy="2116669"/>
        </a:xfrm>
        <a:prstGeom prst="roundRect">
          <a:avLst>
            <a:gd name="adj" fmla="val 10985"/>
          </a:avLst>
        </a:prstGeom>
        <a:gradFill>
          <a:gsLst>
            <a:gs pos="17000">
              <a:srgbClr val="073673"/>
            </a:gs>
            <a:gs pos="53000">
              <a:schemeClr val="tx2">
                <a:lumMod val="50000"/>
                <a:lumOff val="50000"/>
              </a:schemeClr>
            </a:gs>
            <a:gs pos="72000">
              <a:schemeClr val="tx2">
                <a:lumMod val="25000"/>
                <a:lumOff val="75000"/>
              </a:schemeClr>
            </a:gs>
            <a:gs pos="99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157238</xdr:colOff>
      <xdr:row>3</xdr:row>
      <xdr:rowOff>181429</xdr:rowOff>
    </xdr:from>
    <xdr:to>
      <xdr:col>2</xdr:col>
      <xdr:colOff>701524</xdr:colOff>
      <xdr:row>6</xdr:row>
      <xdr:rowOff>48380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E79A211-21EF-A42C-EEF3-BBA559B5E63C}"/>
            </a:ext>
          </a:extLst>
        </xdr:cNvPr>
        <xdr:cNvSpPr txBox="1"/>
      </xdr:nvSpPr>
      <xdr:spPr>
        <a:xfrm>
          <a:off x="459619" y="762000"/>
          <a:ext cx="870857" cy="4475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</a:t>
          </a:r>
          <a:endParaRPr lang="en-IN" sz="18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169333</xdr:colOff>
      <xdr:row>4</xdr:row>
      <xdr:rowOff>0</xdr:rowOff>
    </xdr:from>
    <xdr:to>
      <xdr:col>3</xdr:col>
      <xdr:colOff>1511905</xdr:colOff>
      <xdr:row>6</xdr:row>
      <xdr:rowOff>48380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E443113-7B0B-EBD1-343C-D3F12D4BA6AF}"/>
            </a:ext>
          </a:extLst>
        </xdr:cNvPr>
        <xdr:cNvSpPr txBox="1"/>
      </xdr:nvSpPr>
      <xdr:spPr>
        <a:xfrm>
          <a:off x="1596571" y="774095"/>
          <a:ext cx="1342572" cy="4354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>
              <a:solidFill>
                <a:schemeClr val="bg1"/>
              </a:solidFill>
            </a:rPr>
            <a:t>Active</a:t>
          </a:r>
        </a:p>
      </xdr:txBody>
    </xdr:sp>
    <xdr:clientData/>
  </xdr:twoCellAnchor>
  <xdr:twoCellAnchor>
    <xdr:from>
      <xdr:col>1</xdr:col>
      <xdr:colOff>181429</xdr:colOff>
      <xdr:row>10</xdr:row>
      <xdr:rowOff>48381</xdr:rowOff>
    </xdr:from>
    <xdr:to>
      <xdr:col>2</xdr:col>
      <xdr:colOff>891702</xdr:colOff>
      <xdr:row>12</xdr:row>
      <xdr:rowOff>48639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9299588-41DC-082F-E700-058E480FBBC0}"/>
            </a:ext>
          </a:extLst>
        </xdr:cNvPr>
        <xdr:cNvSpPr txBox="1"/>
      </xdr:nvSpPr>
      <xdr:spPr>
        <a:xfrm>
          <a:off x="489472" y="1993913"/>
          <a:ext cx="1002102" cy="389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</a:rPr>
            <a:t>Pending</a:t>
          </a:r>
        </a:p>
      </xdr:txBody>
    </xdr:sp>
    <xdr:clientData/>
  </xdr:twoCellAnchor>
  <xdr:twoCellAnchor>
    <xdr:from>
      <xdr:col>3</xdr:col>
      <xdr:colOff>435429</xdr:colOff>
      <xdr:row>9</xdr:row>
      <xdr:rowOff>181429</xdr:rowOff>
    </xdr:from>
    <xdr:to>
      <xdr:col>3</xdr:col>
      <xdr:colOff>1257905</xdr:colOff>
      <xdr:row>11</xdr:row>
      <xdr:rowOff>181428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2F5DAB1-7855-DFE8-D5C9-278BC84C7867}"/>
            </a:ext>
          </a:extLst>
        </xdr:cNvPr>
        <xdr:cNvSpPr txBox="1"/>
      </xdr:nvSpPr>
      <xdr:spPr>
        <a:xfrm>
          <a:off x="1862667" y="1923143"/>
          <a:ext cx="822476" cy="3870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Offers</a:t>
          </a:r>
        </a:p>
      </xdr:txBody>
    </xdr:sp>
    <xdr:clientData/>
  </xdr:twoCellAnchor>
  <xdr:twoCellAnchor>
    <xdr:from>
      <xdr:col>1</xdr:col>
      <xdr:colOff>123151</xdr:colOff>
      <xdr:row>5</xdr:row>
      <xdr:rowOff>149902</xdr:rowOff>
    </xdr:from>
    <xdr:to>
      <xdr:col>2</xdr:col>
      <xdr:colOff>723516</xdr:colOff>
      <xdr:row>8</xdr:row>
      <xdr:rowOff>100060</xdr:rowOff>
    </xdr:to>
    <xdr:sp macro="" textlink="$P$8">
      <xdr:nvSpPr>
        <xdr:cNvPr id="22" name="TextBox 21">
          <a:extLst>
            <a:ext uri="{FF2B5EF4-FFF2-40B4-BE49-F238E27FC236}">
              <a16:creationId xmlns:a16="http://schemas.microsoft.com/office/drawing/2014/main" id="{0805FF52-F553-3F63-EDD6-24B25885D4C1}"/>
            </a:ext>
          </a:extLst>
        </xdr:cNvPr>
        <xdr:cNvSpPr txBox="1"/>
      </xdr:nvSpPr>
      <xdr:spPr>
        <a:xfrm>
          <a:off x="422954" y="1149246"/>
          <a:ext cx="925152" cy="549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9916134-2F5D-49A4-AA0A-BD620E91EB81}" type="TxLink">
            <a:rPr lang="en-US" sz="3600" b="1" i="0" u="none" strike="noStrike">
              <a:solidFill>
                <a:schemeClr val="bg1"/>
              </a:solidFill>
              <a:latin typeface="Aptos Narrow"/>
            </a:rPr>
            <a:pPr algn="ctr"/>
            <a:t>29</a:t>
          </a:fld>
          <a:endParaRPr lang="en-IN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474688</xdr:colOff>
      <xdr:row>5</xdr:row>
      <xdr:rowOff>149903</xdr:rowOff>
    </xdr:from>
    <xdr:to>
      <xdr:col>3</xdr:col>
      <xdr:colOff>1186721</xdr:colOff>
      <xdr:row>8</xdr:row>
      <xdr:rowOff>49968</xdr:rowOff>
    </xdr:to>
    <xdr:sp macro="" textlink="$P$9">
      <xdr:nvSpPr>
        <xdr:cNvPr id="23" name="TextBox 22">
          <a:extLst>
            <a:ext uri="{FF2B5EF4-FFF2-40B4-BE49-F238E27FC236}">
              <a16:creationId xmlns:a16="http://schemas.microsoft.com/office/drawing/2014/main" id="{4EF78848-1DE1-3645-C722-C829C39794B5}"/>
            </a:ext>
          </a:extLst>
        </xdr:cNvPr>
        <xdr:cNvSpPr txBox="1"/>
      </xdr:nvSpPr>
      <xdr:spPr>
        <a:xfrm>
          <a:off x="1886262" y="1149247"/>
          <a:ext cx="712033" cy="499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3469DEB-6B7C-4035-9CF9-CFC295B298ED}" type="TxLink">
            <a:rPr lang="en-US" sz="3200" b="1" i="0" u="none" strike="noStrike">
              <a:solidFill>
                <a:schemeClr val="bg1"/>
              </a:solidFill>
              <a:latin typeface="Aptos Narrow"/>
            </a:rPr>
            <a:pPr/>
            <a:t>22</a:t>
          </a:fld>
          <a:endParaRPr lang="en-IN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562130</xdr:colOff>
      <xdr:row>11</xdr:row>
      <xdr:rowOff>62459</xdr:rowOff>
    </xdr:from>
    <xdr:to>
      <xdr:col>3</xdr:col>
      <xdr:colOff>1249179</xdr:colOff>
      <xdr:row>14</xdr:row>
      <xdr:rowOff>12492</xdr:rowOff>
    </xdr:to>
    <xdr:sp macro="" textlink="$P$6">
      <xdr:nvSpPr>
        <xdr:cNvPr id="24" name="TextBox 23">
          <a:extLst>
            <a:ext uri="{FF2B5EF4-FFF2-40B4-BE49-F238E27FC236}">
              <a16:creationId xmlns:a16="http://schemas.microsoft.com/office/drawing/2014/main" id="{017A56A8-9889-7C07-CD53-95F3175C3B14}"/>
            </a:ext>
          </a:extLst>
        </xdr:cNvPr>
        <xdr:cNvSpPr txBox="1"/>
      </xdr:nvSpPr>
      <xdr:spPr>
        <a:xfrm>
          <a:off x="1973704" y="2261016"/>
          <a:ext cx="687049" cy="549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EC6EA4E-DD7D-4701-B544-33F019AD80D0}" type="TxLink">
            <a:rPr lang="en-US" sz="3600" b="1" i="0" u="none" strike="noStrike">
              <a:solidFill>
                <a:schemeClr val="bg1"/>
              </a:solidFill>
              <a:latin typeface="Aptos Narrow"/>
            </a:rPr>
            <a:pPr/>
            <a:t>6</a:t>
          </a:fld>
          <a:endParaRPr lang="en-IN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312294</xdr:colOff>
      <xdr:row>4</xdr:row>
      <xdr:rowOff>1</xdr:rowOff>
    </xdr:from>
    <xdr:to>
      <xdr:col>9</xdr:col>
      <xdr:colOff>624589</xdr:colOff>
      <xdr:row>6</xdr:row>
      <xdr:rowOff>174885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BD70AEE-E1D8-3EB1-1413-A030FE4D3E13}"/>
            </a:ext>
          </a:extLst>
        </xdr:cNvPr>
        <xdr:cNvSpPr txBox="1"/>
      </xdr:nvSpPr>
      <xdr:spPr>
        <a:xfrm>
          <a:off x="3510196" y="799476"/>
          <a:ext cx="5271541" cy="5746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>
              <a:solidFill>
                <a:schemeClr val="bg1"/>
              </a:solidFill>
            </a:rPr>
            <a:t>Application Pipeline</a:t>
          </a:r>
        </a:p>
      </xdr:txBody>
    </xdr:sp>
    <xdr:clientData/>
  </xdr:twoCellAnchor>
  <xdr:twoCellAnchor>
    <xdr:from>
      <xdr:col>4</xdr:col>
      <xdr:colOff>316028</xdr:colOff>
      <xdr:row>6</xdr:row>
      <xdr:rowOff>167843</xdr:rowOff>
    </xdr:from>
    <xdr:to>
      <xdr:col>9</xdr:col>
      <xdr:colOff>460545</xdr:colOff>
      <xdr:row>14</xdr:row>
      <xdr:rowOff>57166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F6746C2-A97A-7EFE-5CFB-6857C15E1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1132114</xdr:colOff>
      <xdr:row>3</xdr:row>
      <xdr:rowOff>130628</xdr:rowOff>
    </xdr:from>
    <xdr:to>
      <xdr:col>12</xdr:col>
      <xdr:colOff>2496457</xdr:colOff>
      <xdr:row>5</xdr:row>
      <xdr:rowOff>137886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6064B26-DC82-886E-2BE6-CCF65A927E18}"/>
            </a:ext>
          </a:extLst>
        </xdr:cNvPr>
        <xdr:cNvSpPr txBox="1"/>
      </xdr:nvSpPr>
      <xdr:spPr>
        <a:xfrm>
          <a:off x="9303657" y="718457"/>
          <a:ext cx="5725886" cy="399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>
              <a:solidFill>
                <a:schemeClr val="bg1"/>
              </a:solidFill>
            </a:rPr>
            <a:t>Job</a:t>
          </a:r>
          <a:r>
            <a:rPr lang="en-IN" sz="1800" b="1">
              <a:solidFill>
                <a:schemeClr val="bg1"/>
              </a:solidFill>
            </a:rPr>
            <a:t> </a:t>
          </a:r>
          <a:r>
            <a:rPr lang="en-IN" sz="2400" b="1">
              <a:solidFill>
                <a:schemeClr val="bg1"/>
              </a:solidFill>
            </a:rPr>
            <a:t>Types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540111</xdr:colOff>
      <xdr:row>5</xdr:row>
      <xdr:rowOff>106939</xdr:rowOff>
    </xdr:from>
    <xdr:to>
      <xdr:col>12</xdr:col>
      <xdr:colOff>2742768</xdr:colOff>
      <xdr:row>13</xdr:row>
      <xdr:rowOff>81539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9E99D6D-96AC-7012-B5BD-CECDE9044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167268</xdr:colOff>
      <xdr:row>11</xdr:row>
      <xdr:rowOff>80212</xdr:rowOff>
    </xdr:from>
    <xdr:to>
      <xdr:col>2</xdr:col>
      <xdr:colOff>817756</xdr:colOff>
      <xdr:row>14</xdr:row>
      <xdr:rowOff>74343</xdr:rowOff>
    </xdr:to>
    <xdr:sp macro="" textlink="'Start Pending'!M3">
      <xdr:nvSpPr>
        <xdr:cNvPr id="2" name="TextBox 1">
          <a:extLst>
            <a:ext uri="{FF2B5EF4-FFF2-40B4-BE49-F238E27FC236}">
              <a16:creationId xmlns:a16="http://schemas.microsoft.com/office/drawing/2014/main" id="{291049A0-095B-EEC5-FC03-0A73B231BB2C}"/>
            </a:ext>
          </a:extLst>
        </xdr:cNvPr>
        <xdr:cNvSpPr txBox="1"/>
      </xdr:nvSpPr>
      <xdr:spPr>
        <a:xfrm>
          <a:off x="474742" y="2286001"/>
          <a:ext cx="944593" cy="5957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6D9F023-FFE0-441F-852E-726C72BC9FC0}" type="TxLink">
            <a:rPr lang="en-US" sz="3600" b="1" i="0" u="none" strike="noStrike">
              <a:solidFill>
                <a:schemeClr val="bg1"/>
              </a:solidFill>
              <a:latin typeface="Aptos Narrow"/>
            </a:rPr>
            <a:pPr algn="ctr"/>
            <a:t>10</a:t>
          </a:fld>
          <a:endParaRPr lang="en-US" sz="32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0.85216</cdr:x>
      <cdr:y>0.36545</cdr:y>
    </cdr:from>
    <cdr:to>
      <cdr:x>1</cdr:x>
      <cdr:y>1</cdr:y>
    </cdr:to>
    <cdr:pic>
      <cdr:nvPicPr>
        <cdr:cNvPr id="3" name="Graphic 2" descr="Rocket with solid fill">
          <a:extLst xmlns:a="http://schemas.openxmlformats.org/drawingml/2006/main">
            <a:ext uri="{FF2B5EF4-FFF2-40B4-BE49-F238E27FC236}">
              <a16:creationId xmlns:a16="http://schemas.microsoft.com/office/drawing/2014/main" id="{18B1F19C-3FC7-C700-795B-8AA7F088206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270699" y="526632"/>
          <a:ext cx="914400" cy="914400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0.85434</cdr:x>
      <cdr:y>0.42004</cdr:y>
    </cdr:from>
    <cdr:to>
      <cdr:x>1</cdr:x>
      <cdr:y>1</cdr:y>
    </cdr:to>
    <cdr:pic>
      <cdr:nvPicPr>
        <cdr:cNvPr id="2" name="Graphic 45" descr="Online meeting with solid fill">
          <a:extLst xmlns:a="http://schemas.openxmlformats.org/drawingml/2006/main">
            <a:ext uri="{FF2B5EF4-FFF2-40B4-BE49-F238E27FC236}">
              <a16:creationId xmlns:a16="http://schemas.microsoft.com/office/drawing/2014/main" id="{A2FF22D5-308F-2CA2-5A3F-6858A466628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363301" y="657298"/>
          <a:ext cx="914400" cy="907563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0</xdr:row>
      <xdr:rowOff>136806</xdr:rowOff>
    </xdr:from>
    <xdr:to>
      <xdr:col>13</xdr:col>
      <xdr:colOff>8020</xdr:colOff>
      <xdr:row>3</xdr:row>
      <xdr:rowOff>47676</xdr:rowOff>
    </xdr:to>
    <xdr:sp macro="" textlink="">
      <xdr:nvSpPr>
        <xdr:cNvPr id="21" name="Rounded Rectangle 1">
          <a:extLst>
            <a:ext uri="{FF2B5EF4-FFF2-40B4-BE49-F238E27FC236}">
              <a16:creationId xmlns:a16="http://schemas.microsoft.com/office/drawing/2014/main" id="{D0E94862-252D-417F-AC81-93F4C7C6361C}"/>
            </a:ext>
          </a:extLst>
        </xdr:cNvPr>
        <xdr:cNvSpPr/>
      </xdr:nvSpPr>
      <xdr:spPr>
        <a:xfrm>
          <a:off x="304799" y="136806"/>
          <a:ext cx="13908505" cy="512449"/>
        </a:xfrm>
        <a:prstGeom prst="roundRect">
          <a:avLst>
            <a:gd name="adj" fmla="val 10985"/>
          </a:avLst>
        </a:prstGeom>
        <a:gradFill>
          <a:gsLst>
            <a:gs pos="21000">
              <a:srgbClr val="073673"/>
            </a:gs>
            <a:gs pos="53000">
              <a:schemeClr val="tx2">
                <a:lumMod val="50000"/>
                <a:lumOff val="50000"/>
              </a:schemeClr>
            </a:gs>
            <a:gs pos="72000">
              <a:schemeClr val="tx2">
                <a:lumMod val="25000"/>
                <a:lumOff val="75000"/>
              </a:schemeClr>
            </a:gs>
            <a:gs pos="99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2400" b="1">
              <a:solidFill>
                <a:schemeClr val="lt1"/>
              </a:solidFill>
              <a:latin typeface="+mn-lt"/>
              <a:ea typeface="+mn-ea"/>
              <a:cs typeface="+mn-cs"/>
            </a:rPr>
            <a:t>Job</a:t>
          </a:r>
          <a:r>
            <a:rPr lang="en-US" sz="2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Application Tracker</a:t>
          </a:r>
          <a:endParaRPr lang="en-US" sz="2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8966</xdr:colOff>
      <xdr:row>4</xdr:row>
      <xdr:rowOff>16037</xdr:rowOff>
    </xdr:from>
    <xdr:to>
      <xdr:col>2</xdr:col>
      <xdr:colOff>833450</xdr:colOff>
      <xdr:row>9</xdr:row>
      <xdr:rowOff>10582</xdr:rowOff>
    </xdr:to>
    <xdr:sp macro="" textlink="">
      <xdr:nvSpPr>
        <xdr:cNvPr id="24" name="Rounded Rectangle 1">
          <a:extLst>
            <a:ext uri="{FF2B5EF4-FFF2-40B4-BE49-F238E27FC236}">
              <a16:creationId xmlns:a16="http://schemas.microsoft.com/office/drawing/2014/main" id="{F02883A0-74C9-4093-9F8C-429CEC01E976}"/>
            </a:ext>
          </a:extLst>
        </xdr:cNvPr>
        <xdr:cNvSpPr/>
      </xdr:nvSpPr>
      <xdr:spPr>
        <a:xfrm>
          <a:off x="313766" y="818142"/>
          <a:ext cx="1153347" cy="997177"/>
        </a:xfrm>
        <a:prstGeom prst="roundRect">
          <a:avLst>
            <a:gd name="adj" fmla="val 10985"/>
          </a:avLst>
        </a:prstGeom>
        <a:gradFill>
          <a:gsLst>
            <a:gs pos="17000">
              <a:srgbClr val="073673"/>
            </a:gs>
            <a:gs pos="48000">
              <a:schemeClr val="tx2">
                <a:lumMod val="50000"/>
                <a:lumOff val="50000"/>
              </a:schemeClr>
            </a:gs>
            <a:gs pos="72000">
              <a:schemeClr val="tx2">
                <a:lumMod val="25000"/>
                <a:lumOff val="75000"/>
              </a:schemeClr>
            </a:gs>
            <a:gs pos="99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10</xdr:row>
      <xdr:rowOff>13346</xdr:rowOff>
    </xdr:from>
    <xdr:to>
      <xdr:col>2</xdr:col>
      <xdr:colOff>824484</xdr:colOff>
      <xdr:row>14</xdr:row>
      <xdr:rowOff>190371</xdr:rowOff>
    </xdr:to>
    <xdr:sp macro="" textlink="">
      <xdr:nvSpPr>
        <xdr:cNvPr id="25" name="Rounded Rectangle 1">
          <a:extLst>
            <a:ext uri="{FF2B5EF4-FFF2-40B4-BE49-F238E27FC236}">
              <a16:creationId xmlns:a16="http://schemas.microsoft.com/office/drawing/2014/main" id="{F52F0BD0-99C8-4693-8D31-96958F32D156}"/>
            </a:ext>
          </a:extLst>
        </xdr:cNvPr>
        <xdr:cNvSpPr/>
      </xdr:nvSpPr>
      <xdr:spPr>
        <a:xfrm>
          <a:off x="304800" y="2018609"/>
          <a:ext cx="1153347" cy="979130"/>
        </a:xfrm>
        <a:prstGeom prst="roundRect">
          <a:avLst>
            <a:gd name="adj" fmla="val 10985"/>
          </a:avLst>
        </a:prstGeom>
        <a:gradFill>
          <a:gsLst>
            <a:gs pos="17000">
              <a:srgbClr val="073673"/>
            </a:gs>
            <a:gs pos="42000">
              <a:schemeClr val="tx2">
                <a:lumMod val="50000"/>
                <a:lumOff val="50000"/>
              </a:schemeClr>
            </a:gs>
            <a:gs pos="72000">
              <a:schemeClr val="tx2">
                <a:lumMod val="25000"/>
                <a:lumOff val="75000"/>
              </a:schemeClr>
            </a:gs>
            <a:gs pos="99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124162</xdr:colOff>
      <xdr:row>10</xdr:row>
      <xdr:rowOff>20966</xdr:rowOff>
    </xdr:from>
    <xdr:to>
      <xdr:col>3</xdr:col>
      <xdr:colOff>1276306</xdr:colOff>
      <xdr:row>14</xdr:row>
      <xdr:rowOff>197991</xdr:rowOff>
    </xdr:to>
    <xdr:sp macro="" textlink="">
      <xdr:nvSpPr>
        <xdr:cNvPr id="26" name="Rounded Rectangle 1">
          <a:extLst>
            <a:ext uri="{FF2B5EF4-FFF2-40B4-BE49-F238E27FC236}">
              <a16:creationId xmlns:a16="http://schemas.microsoft.com/office/drawing/2014/main" id="{AD561CC6-1989-4720-A5BF-5AACB3100287}"/>
            </a:ext>
          </a:extLst>
        </xdr:cNvPr>
        <xdr:cNvSpPr/>
      </xdr:nvSpPr>
      <xdr:spPr>
        <a:xfrm>
          <a:off x="1608057" y="2026229"/>
          <a:ext cx="1152144" cy="979130"/>
        </a:xfrm>
        <a:prstGeom prst="roundRect">
          <a:avLst>
            <a:gd name="adj" fmla="val 10985"/>
          </a:avLst>
        </a:prstGeom>
        <a:gradFill>
          <a:gsLst>
            <a:gs pos="17000">
              <a:srgbClr val="073673"/>
            </a:gs>
            <a:gs pos="48000">
              <a:schemeClr val="tx2">
                <a:lumMod val="50000"/>
                <a:lumOff val="50000"/>
              </a:schemeClr>
            </a:gs>
            <a:gs pos="72000">
              <a:schemeClr val="tx2">
                <a:lumMod val="25000"/>
                <a:lumOff val="75000"/>
              </a:schemeClr>
            </a:gs>
            <a:gs pos="99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116542</xdr:colOff>
      <xdr:row>4</xdr:row>
      <xdr:rowOff>20070</xdr:rowOff>
    </xdr:from>
    <xdr:to>
      <xdr:col>3</xdr:col>
      <xdr:colOff>1271196</xdr:colOff>
      <xdr:row>9</xdr:row>
      <xdr:rowOff>10926</xdr:rowOff>
    </xdr:to>
    <xdr:sp macro="" textlink="">
      <xdr:nvSpPr>
        <xdr:cNvPr id="27" name="Rounded Rectangle 1">
          <a:extLst>
            <a:ext uri="{FF2B5EF4-FFF2-40B4-BE49-F238E27FC236}">
              <a16:creationId xmlns:a16="http://schemas.microsoft.com/office/drawing/2014/main" id="{10184347-0679-40D9-836C-9CB3135558E1}"/>
            </a:ext>
          </a:extLst>
        </xdr:cNvPr>
        <xdr:cNvSpPr/>
      </xdr:nvSpPr>
      <xdr:spPr>
        <a:xfrm>
          <a:off x="1600437" y="822175"/>
          <a:ext cx="1154654" cy="993488"/>
        </a:xfrm>
        <a:prstGeom prst="roundRect">
          <a:avLst>
            <a:gd name="adj" fmla="val 10985"/>
          </a:avLst>
        </a:prstGeom>
        <a:gradFill>
          <a:gsLst>
            <a:gs pos="17000">
              <a:srgbClr val="073673"/>
            </a:gs>
            <a:gs pos="49000">
              <a:schemeClr val="tx2">
                <a:lumMod val="50000"/>
                <a:lumOff val="50000"/>
              </a:schemeClr>
            </a:gs>
            <a:gs pos="83000">
              <a:schemeClr val="tx2">
                <a:lumMod val="25000"/>
                <a:lumOff val="75000"/>
              </a:schemeClr>
            </a:gs>
            <a:gs pos="99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1515980</xdr:colOff>
      <xdr:row>4</xdr:row>
      <xdr:rowOff>4377</xdr:rowOff>
    </xdr:from>
    <xdr:to>
      <xdr:col>9</xdr:col>
      <xdr:colOff>539771</xdr:colOff>
      <xdr:row>15</xdr:row>
      <xdr:rowOff>52462</xdr:rowOff>
    </xdr:to>
    <xdr:sp macro="" textlink="">
      <xdr:nvSpPr>
        <xdr:cNvPr id="28" name="Rounded Rectangle 1">
          <a:extLst>
            <a:ext uri="{FF2B5EF4-FFF2-40B4-BE49-F238E27FC236}">
              <a16:creationId xmlns:a16="http://schemas.microsoft.com/office/drawing/2014/main" id="{D23E27F1-19BD-4320-BF4B-1AE514912808}"/>
            </a:ext>
          </a:extLst>
        </xdr:cNvPr>
        <xdr:cNvSpPr/>
      </xdr:nvSpPr>
      <xdr:spPr>
        <a:xfrm>
          <a:off x="2999875" y="806482"/>
          <a:ext cx="5905854" cy="2253875"/>
        </a:xfrm>
        <a:prstGeom prst="roundRect">
          <a:avLst>
            <a:gd name="adj" fmla="val 10985"/>
          </a:avLst>
        </a:prstGeom>
        <a:gradFill>
          <a:gsLst>
            <a:gs pos="17000">
              <a:srgbClr val="073673"/>
            </a:gs>
            <a:gs pos="53000">
              <a:schemeClr val="tx2">
                <a:lumMod val="50000"/>
                <a:lumOff val="50000"/>
              </a:schemeClr>
            </a:gs>
            <a:gs pos="72000">
              <a:schemeClr val="tx2">
                <a:lumMod val="25000"/>
                <a:lumOff val="75000"/>
              </a:schemeClr>
            </a:gs>
            <a:gs pos="99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745961</xdr:colOff>
      <xdr:row>3</xdr:row>
      <xdr:rowOff>184491</xdr:rowOff>
    </xdr:from>
    <xdr:to>
      <xdr:col>13</xdr:col>
      <xdr:colOff>28784</xdr:colOff>
      <xdr:row>15</xdr:row>
      <xdr:rowOff>77858</xdr:rowOff>
    </xdr:to>
    <xdr:sp macro="" textlink="">
      <xdr:nvSpPr>
        <xdr:cNvPr id="29" name="Rounded Rectangle 1">
          <a:extLst>
            <a:ext uri="{FF2B5EF4-FFF2-40B4-BE49-F238E27FC236}">
              <a16:creationId xmlns:a16="http://schemas.microsoft.com/office/drawing/2014/main" id="{568F4FFA-A730-4EBE-877D-40B5867B1175}"/>
            </a:ext>
          </a:extLst>
        </xdr:cNvPr>
        <xdr:cNvSpPr/>
      </xdr:nvSpPr>
      <xdr:spPr>
        <a:xfrm>
          <a:off x="9111919" y="786070"/>
          <a:ext cx="5122149" cy="2299683"/>
        </a:xfrm>
        <a:prstGeom prst="roundRect">
          <a:avLst>
            <a:gd name="adj" fmla="val 10985"/>
          </a:avLst>
        </a:prstGeom>
        <a:gradFill>
          <a:gsLst>
            <a:gs pos="17000">
              <a:srgbClr val="073673"/>
            </a:gs>
            <a:gs pos="53000">
              <a:schemeClr val="tx2">
                <a:lumMod val="50000"/>
                <a:lumOff val="50000"/>
              </a:schemeClr>
            </a:gs>
            <a:gs pos="78000">
              <a:schemeClr val="tx2">
                <a:lumMod val="25000"/>
                <a:lumOff val="75000"/>
              </a:schemeClr>
            </a:gs>
            <a:gs pos="99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80211</xdr:colOff>
      <xdr:row>4</xdr:row>
      <xdr:rowOff>6757</xdr:rowOff>
    </xdr:from>
    <xdr:to>
      <xdr:col>2</xdr:col>
      <xdr:colOff>770021</xdr:colOff>
      <xdr:row>5</xdr:row>
      <xdr:rowOff>193771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DDB5C85-0111-2759-2E8F-4513A36856CD}"/>
            </a:ext>
          </a:extLst>
        </xdr:cNvPr>
        <xdr:cNvSpPr txBox="1"/>
      </xdr:nvSpPr>
      <xdr:spPr>
        <a:xfrm>
          <a:off x="385011" y="808862"/>
          <a:ext cx="1018673" cy="3875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 b="1">
              <a:solidFill>
                <a:schemeClr val="bg1"/>
              </a:solidFill>
            </a:rPr>
            <a:t>Total</a:t>
          </a:r>
        </a:p>
      </xdr:txBody>
    </xdr:sp>
    <xdr:clientData/>
  </xdr:twoCellAnchor>
  <xdr:twoCellAnchor>
    <xdr:from>
      <xdr:col>3</xdr:col>
      <xdr:colOff>224589</xdr:colOff>
      <xdr:row>4</xdr:row>
      <xdr:rowOff>6757</xdr:rowOff>
    </xdr:from>
    <xdr:to>
      <xdr:col>3</xdr:col>
      <xdr:colOff>1243262</xdr:colOff>
      <xdr:row>5</xdr:row>
      <xdr:rowOff>193771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6E81B68-2924-DFA0-1FAA-BC00B01B2A4E}"/>
            </a:ext>
          </a:extLst>
        </xdr:cNvPr>
        <xdr:cNvSpPr txBox="1"/>
      </xdr:nvSpPr>
      <xdr:spPr>
        <a:xfrm>
          <a:off x="1708484" y="808862"/>
          <a:ext cx="1018673" cy="3875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 b="1">
              <a:solidFill>
                <a:schemeClr val="bg1"/>
              </a:solidFill>
            </a:rPr>
            <a:t>Active</a:t>
          </a:r>
        </a:p>
      </xdr:txBody>
    </xdr:sp>
    <xdr:clientData/>
  </xdr:twoCellAnchor>
  <xdr:twoCellAnchor>
    <xdr:from>
      <xdr:col>3</xdr:col>
      <xdr:colOff>224589</xdr:colOff>
      <xdr:row>10</xdr:row>
      <xdr:rowOff>62904</xdr:rowOff>
    </xdr:from>
    <xdr:to>
      <xdr:col>3</xdr:col>
      <xdr:colOff>1243262</xdr:colOff>
      <xdr:row>12</xdr:row>
      <xdr:rowOff>49392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80D031F-87F8-EB55-B11A-EB3EA53CA0CB}"/>
            </a:ext>
          </a:extLst>
        </xdr:cNvPr>
        <xdr:cNvSpPr txBox="1"/>
      </xdr:nvSpPr>
      <xdr:spPr>
        <a:xfrm>
          <a:off x="1708484" y="2068167"/>
          <a:ext cx="1018673" cy="3875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 b="1">
              <a:solidFill>
                <a:schemeClr val="bg1"/>
              </a:solidFill>
            </a:rPr>
            <a:t>Offers</a:t>
          </a:r>
        </a:p>
      </xdr:txBody>
    </xdr:sp>
    <xdr:clientData/>
  </xdr:twoCellAnchor>
  <xdr:twoCellAnchor>
    <xdr:from>
      <xdr:col>1</xdr:col>
      <xdr:colOff>21256</xdr:colOff>
      <xdr:row>10</xdr:row>
      <xdr:rowOff>62904</xdr:rowOff>
    </xdr:from>
    <xdr:to>
      <xdr:col>2</xdr:col>
      <xdr:colOff>812933</xdr:colOff>
      <xdr:row>12</xdr:row>
      <xdr:rowOff>49392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6D55049-2CAB-B500-F59D-2388332FE66C}"/>
            </a:ext>
          </a:extLst>
        </xdr:cNvPr>
        <xdr:cNvSpPr txBox="1"/>
      </xdr:nvSpPr>
      <xdr:spPr>
        <a:xfrm>
          <a:off x="326056" y="2068167"/>
          <a:ext cx="1120540" cy="3875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 b="1">
              <a:solidFill>
                <a:schemeClr val="bg1"/>
              </a:solidFill>
            </a:rPr>
            <a:t>Pending</a:t>
          </a:r>
        </a:p>
      </xdr:txBody>
    </xdr:sp>
    <xdr:clientData/>
  </xdr:twoCellAnchor>
  <xdr:twoCellAnchor>
    <xdr:from>
      <xdr:col>1</xdr:col>
      <xdr:colOff>56148</xdr:colOff>
      <xdr:row>5</xdr:row>
      <xdr:rowOff>57775</xdr:rowOff>
    </xdr:from>
    <xdr:to>
      <xdr:col>2</xdr:col>
      <xdr:colOff>745958</xdr:colOff>
      <xdr:row>8</xdr:row>
      <xdr:rowOff>142750</xdr:rowOff>
    </xdr:to>
    <xdr:sp macro="" textlink="$P$8">
      <xdr:nvSpPr>
        <xdr:cNvPr id="35" name="TextBox 34">
          <a:extLst>
            <a:ext uri="{FF2B5EF4-FFF2-40B4-BE49-F238E27FC236}">
              <a16:creationId xmlns:a16="http://schemas.microsoft.com/office/drawing/2014/main" id="{B4378042-5F95-4FCF-AD54-C846D34B76B9}"/>
            </a:ext>
          </a:extLst>
        </xdr:cNvPr>
        <xdr:cNvSpPr txBox="1"/>
      </xdr:nvSpPr>
      <xdr:spPr>
        <a:xfrm>
          <a:off x="360948" y="1060407"/>
          <a:ext cx="1018673" cy="686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9A3B545-1038-48FA-8C31-00908F19EA49}" type="TxLink">
            <a:rPr lang="en-US" sz="4000" b="1" i="0" u="none" strike="noStrike">
              <a:solidFill>
                <a:schemeClr val="bg1"/>
              </a:solidFill>
              <a:latin typeface="Aptos Narrow"/>
            </a:rPr>
            <a:pPr algn="ctr"/>
            <a:t>25</a:t>
          </a:fld>
          <a:endParaRPr lang="en-GB" sz="5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200526</xdr:colOff>
      <xdr:row>5</xdr:row>
      <xdr:rowOff>57775</xdr:rowOff>
    </xdr:from>
    <xdr:to>
      <xdr:col>3</xdr:col>
      <xdr:colOff>1219199</xdr:colOff>
      <xdr:row>8</xdr:row>
      <xdr:rowOff>142750</xdr:rowOff>
    </xdr:to>
    <xdr:sp macro="" textlink="$P$9">
      <xdr:nvSpPr>
        <xdr:cNvPr id="36" name="TextBox 35">
          <a:extLst>
            <a:ext uri="{FF2B5EF4-FFF2-40B4-BE49-F238E27FC236}">
              <a16:creationId xmlns:a16="http://schemas.microsoft.com/office/drawing/2014/main" id="{0EAA97AE-2CA8-B5D9-A027-132A4DC38783}"/>
            </a:ext>
          </a:extLst>
        </xdr:cNvPr>
        <xdr:cNvSpPr txBox="1"/>
      </xdr:nvSpPr>
      <xdr:spPr>
        <a:xfrm>
          <a:off x="1684421" y="1060407"/>
          <a:ext cx="1018673" cy="686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F9146A1-FE24-4E26-9EFA-F6C256EEA8DD}" type="TxLink">
            <a:rPr lang="en-US" sz="4000" b="1" i="0" u="none" strike="noStrike">
              <a:solidFill>
                <a:schemeClr val="bg1"/>
              </a:solidFill>
              <a:latin typeface="Aptos Narrow"/>
            </a:rPr>
            <a:pPr algn="ctr"/>
            <a:t>18</a:t>
          </a:fld>
          <a:endParaRPr lang="en-GB" sz="5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200526</xdr:colOff>
      <xdr:row>11</xdr:row>
      <xdr:rowOff>113923</xdr:rowOff>
    </xdr:from>
    <xdr:to>
      <xdr:col>3</xdr:col>
      <xdr:colOff>1219199</xdr:colOff>
      <xdr:row>14</xdr:row>
      <xdr:rowOff>198898</xdr:rowOff>
    </xdr:to>
    <xdr:sp macro="" textlink="$P$6">
      <xdr:nvSpPr>
        <xdr:cNvPr id="37" name="TextBox 36">
          <a:extLst>
            <a:ext uri="{FF2B5EF4-FFF2-40B4-BE49-F238E27FC236}">
              <a16:creationId xmlns:a16="http://schemas.microsoft.com/office/drawing/2014/main" id="{73CC22FA-A5A9-F7EB-3A6B-53DE56E7255B}"/>
            </a:ext>
          </a:extLst>
        </xdr:cNvPr>
        <xdr:cNvSpPr txBox="1"/>
      </xdr:nvSpPr>
      <xdr:spPr>
        <a:xfrm>
          <a:off x="1684421" y="2319712"/>
          <a:ext cx="1018673" cy="686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503C006-A076-44C7-9A64-C8A56B82BFBE}" type="TxLink">
            <a:rPr lang="en-US" sz="4000" b="1" i="0" u="none" strike="noStrike">
              <a:solidFill>
                <a:schemeClr val="bg1"/>
              </a:solidFill>
              <a:latin typeface="Aptos Narrow"/>
            </a:rPr>
            <a:pPr algn="ctr"/>
            <a:t>3</a:t>
          </a:fld>
          <a:endParaRPr lang="en-GB" sz="54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21256</xdr:colOff>
      <xdr:row>11</xdr:row>
      <xdr:rowOff>129965</xdr:rowOff>
    </xdr:from>
    <xdr:to>
      <xdr:col>2</xdr:col>
      <xdr:colOff>812933</xdr:colOff>
      <xdr:row>15</xdr:row>
      <xdr:rowOff>14413</xdr:rowOff>
    </xdr:to>
    <xdr:sp macro="" textlink="'End Pending'!M3">
      <xdr:nvSpPr>
        <xdr:cNvPr id="38" name="TextBox 37">
          <a:extLst>
            <a:ext uri="{FF2B5EF4-FFF2-40B4-BE49-F238E27FC236}">
              <a16:creationId xmlns:a16="http://schemas.microsoft.com/office/drawing/2014/main" id="{D961E594-03FB-ABDC-DEB4-BD42D24D5C3B}"/>
            </a:ext>
          </a:extLst>
        </xdr:cNvPr>
        <xdr:cNvSpPr txBox="1"/>
      </xdr:nvSpPr>
      <xdr:spPr>
        <a:xfrm>
          <a:off x="326056" y="2335754"/>
          <a:ext cx="1120540" cy="686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A15E6839-3040-4F2E-9113-CC02096FFF99}" type="TxLink">
            <a:rPr lang="en-US" sz="40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10</a:t>
          </a:fld>
          <a:endParaRPr lang="en-GB" sz="40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1034711</xdr:colOff>
      <xdr:row>4</xdr:row>
      <xdr:rowOff>14778</xdr:rowOff>
    </xdr:from>
    <xdr:to>
      <xdr:col>8</xdr:col>
      <xdr:colOff>168437</xdr:colOff>
      <xdr:row>6</xdr:row>
      <xdr:rowOff>1266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74A31A0-9E78-D438-E2B2-16775DF2F870}"/>
            </a:ext>
          </a:extLst>
        </xdr:cNvPr>
        <xdr:cNvSpPr txBox="1"/>
      </xdr:nvSpPr>
      <xdr:spPr>
        <a:xfrm>
          <a:off x="4307300" y="816883"/>
          <a:ext cx="3064042" cy="3875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 b="1">
              <a:solidFill>
                <a:schemeClr val="bg1"/>
              </a:solidFill>
            </a:rPr>
            <a:t>Application Pipeline</a:t>
          </a:r>
        </a:p>
      </xdr:txBody>
    </xdr:sp>
    <xdr:clientData/>
  </xdr:twoCellAnchor>
  <xdr:twoCellAnchor>
    <xdr:from>
      <xdr:col>4</xdr:col>
      <xdr:colOff>20055</xdr:colOff>
      <xdr:row>5</xdr:row>
      <xdr:rowOff>40104</xdr:rowOff>
    </xdr:from>
    <xdr:to>
      <xdr:col>9</xdr:col>
      <xdr:colOff>152402</xdr:colOff>
      <xdr:row>15</xdr:row>
      <xdr:rowOff>128337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6E69C1C-CD79-478D-D01C-D104025F8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673763</xdr:colOff>
      <xdr:row>4</xdr:row>
      <xdr:rowOff>14778</xdr:rowOff>
    </xdr:from>
    <xdr:to>
      <xdr:col>12</xdr:col>
      <xdr:colOff>1724521</xdr:colOff>
      <xdr:row>6</xdr:row>
      <xdr:rowOff>1266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BD2C54E-2DDC-C9BD-8F51-33320B61DD3F}"/>
            </a:ext>
          </a:extLst>
        </xdr:cNvPr>
        <xdr:cNvSpPr txBox="1"/>
      </xdr:nvSpPr>
      <xdr:spPr>
        <a:xfrm>
          <a:off x="10210795" y="816883"/>
          <a:ext cx="3064042" cy="3875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 b="1">
              <a:solidFill>
                <a:schemeClr val="bg1"/>
              </a:solidFill>
            </a:rPr>
            <a:t>Job Types</a:t>
          </a:r>
        </a:p>
      </xdr:txBody>
    </xdr:sp>
    <xdr:clientData/>
  </xdr:twoCellAnchor>
  <xdr:twoCellAnchor>
    <xdr:from>
      <xdr:col>9</xdr:col>
      <xdr:colOff>717886</xdr:colOff>
      <xdr:row>5</xdr:row>
      <xdr:rowOff>40104</xdr:rowOff>
    </xdr:from>
    <xdr:to>
      <xdr:col>13</xdr:col>
      <xdr:colOff>104276</xdr:colOff>
      <xdr:row>15</xdr:row>
      <xdr:rowOff>128337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C9306368-786A-2AF9-B460-DDF2363E1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617622</xdr:colOff>
      <xdr:row>10</xdr:row>
      <xdr:rowOff>96253</xdr:rowOff>
    </xdr:from>
    <xdr:to>
      <xdr:col>9</xdr:col>
      <xdr:colOff>368969</xdr:colOff>
      <xdr:row>15</xdr:row>
      <xdr:rowOff>8021</xdr:rowOff>
    </xdr:to>
    <xdr:pic>
      <xdr:nvPicPr>
        <xdr:cNvPr id="44" name="Graphic 43" descr="Rocket with solid fill">
          <a:extLst>
            <a:ext uri="{FF2B5EF4-FFF2-40B4-BE49-F238E27FC236}">
              <a16:creationId xmlns:a16="http://schemas.microsoft.com/office/drawing/2014/main" id="{90708EC3-A510-DFFF-9237-A3249D1A8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820527" y="2101516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1684421</xdr:colOff>
      <xdr:row>10</xdr:row>
      <xdr:rowOff>104273</xdr:rowOff>
    </xdr:from>
    <xdr:to>
      <xdr:col>12</xdr:col>
      <xdr:colOff>2598821</xdr:colOff>
      <xdr:row>15</xdr:row>
      <xdr:rowOff>16041</xdr:rowOff>
    </xdr:to>
    <xdr:pic>
      <xdr:nvPicPr>
        <xdr:cNvPr id="46" name="Graphic 45" descr="Online meeting with solid fill">
          <a:extLst>
            <a:ext uri="{FF2B5EF4-FFF2-40B4-BE49-F238E27FC236}">
              <a16:creationId xmlns:a16="http://schemas.microsoft.com/office/drawing/2014/main" id="{A2FF22D5-308F-2CA2-5A3F-6858A4666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234737" y="2109536"/>
          <a:ext cx="914400" cy="914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7E4F81-61AC-4E2B-8EE7-8A8416719F24}" name="Table4" displayName="Table4" ref="B17:M45" totalsRowShown="0" headerRowDxfId="44" dataDxfId="43" tableBorderDxfId="42">
  <autoFilter ref="B17:M45" xr:uid="{587E4F81-61AC-4E2B-8EE7-8A8416719F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4E92054F-771F-4E0C-99AA-B08C8DF2CDA4}" name="#" dataDxfId="41"/>
    <tableColumn id="2" xr3:uid="{4C56528A-08A2-4A75-9E99-E6B154BBEF00}" name="Company" dataDxfId="40"/>
    <tableColumn id="3" xr3:uid="{B5857B56-BD17-4078-AFC5-6A8BCD5A3CC8}" name="Position" dataDxfId="39"/>
    <tableColumn id="4" xr3:uid="{19483175-5465-48E5-8455-75A4362D3F0F}" name="Location" dataDxfId="38"/>
    <tableColumn id="5" xr3:uid="{B43637D6-0373-41EC-89F3-F5E6C63D0037}" name="Job Type" dataDxfId="37"/>
    <tableColumn id="6" xr3:uid="{56924C42-7D66-4D94-914E-4DAD670C60EC}" name="Date Applied" dataDxfId="36"/>
    <tableColumn id="7" xr3:uid="{942E78E6-1A4F-46BB-958F-872AC40D3A74}" name="Status" dataDxfId="35"/>
    <tableColumn id="8" xr3:uid="{FDF42D87-0E6B-43E9-A63F-F4B61C687E1E}" name="Follow-Up Date" dataDxfId="34">
      <calculatedColumnFormula>G18+14</calculatedColumnFormula>
    </tableColumn>
    <tableColumn id="9" xr3:uid="{C2E9CAF1-C0AE-47B0-94DB-4D66EC4714B1}" name="Contact Person" dataDxfId="33"/>
    <tableColumn id="10" xr3:uid="{71B756AD-5994-4F72-AE7D-5499CBFED5C9}" name="Salary Range" dataDxfId="32"/>
    <tableColumn id="11" xr3:uid="{7EA6A06C-9983-47E1-9741-9AC4830154A8}" name="Link" dataDxfId="31"/>
    <tableColumn id="12" xr3:uid="{0346E3DE-4017-436E-ABC5-930FC7795C53}" name="Notes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30ED34-6A70-7F44-8318-BBF801B29220}" name="Table24" displayName="Table24" ref="B2:K12" totalsRowShown="0" headerRowDxfId="29">
  <autoFilter ref="B2:K12" xr:uid="{141C531D-5F89-418A-947A-09576298BEF2}"/>
  <tableColumns count="10">
    <tableColumn id="1" xr3:uid="{F6328BCB-6AE8-4648-A48E-D517B70FE7A5}" name="#" dataDxfId="28"/>
    <tableColumn id="2" xr3:uid="{479A13BC-8884-6F42-9AC3-9DEF6EBA6FB4}" name="Company"/>
    <tableColumn id="3" xr3:uid="{06FDDA6A-4951-7943-977B-1D4247A6CDD5}" name="Position"/>
    <tableColumn id="4" xr3:uid="{D6F52B88-BE2B-7B4E-8345-5F676EAA92D0}" name="Location" dataDxfId="27"/>
    <tableColumn id="5" xr3:uid="{8EAE1162-70FA-E34E-9BDD-9B10DBB50723}" name="Job Type" dataDxfId="26"/>
    <tableColumn id="6" xr3:uid="{EA81A709-172A-E445-BCC7-50B28A03CCB4}" name="Deadline" dataDxfId="25"/>
    <tableColumn id="7" xr3:uid="{AE182C69-CC4E-0A45-98F9-4827AC7DBF50}" name="Days Left to Apply" dataDxfId="24">
      <calculatedColumnFormula>Table24[[#This Row],[Deadline]]-TODAY()</calculatedColumnFormula>
    </tableColumn>
    <tableColumn id="8" xr3:uid="{DF658FB6-F92A-2445-AF75-3C905D016D25}" name="Salary Range"/>
    <tableColumn id="9" xr3:uid="{DE66A286-588F-9E4C-9CE2-3AC2222B69DB}" name="Link / URL"/>
    <tableColumn id="10" xr3:uid="{7DA0B53E-CD7D-B748-938E-44ECB2EE3977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10AF18-C494-4B4F-AE58-2110C7EC5337}" name="Table1" displayName="Table1" ref="B17:M42" totalsRowShown="0" headerRowDxfId="23" dataDxfId="22">
  <autoFilter ref="B17:M42" xr:uid="{9D10AF18-C494-4B4F-AE58-2110C7EC53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62EA9B84-1BC3-48D4-B68A-15CE60920F47}" name="#" dataDxfId="21"/>
    <tableColumn id="2" xr3:uid="{93D21BD0-ACBB-47AA-A42F-81F76BE9427C}" name="Company" dataDxfId="20"/>
    <tableColumn id="3" xr3:uid="{7F4BBCED-F9CD-4B04-A5CD-9872F5E98205}" name="Position" dataDxfId="19"/>
    <tableColumn id="4" xr3:uid="{CD42CAC6-D769-4EA5-A82D-DACE6FD55644}" name="Location" dataDxfId="18"/>
    <tableColumn id="5" xr3:uid="{70913605-6BF4-4015-BE71-0D4EA6744558}" name="Job Type" dataDxfId="17"/>
    <tableColumn id="6" xr3:uid="{68F8F923-D4DB-42DB-8ED9-9CC1DE350321}" name="Date Applied" dataDxfId="16"/>
    <tableColumn id="7" xr3:uid="{8B716B0F-0914-45D4-9CAD-4B56BB708BEA}" name="Status" dataDxfId="15"/>
    <tableColumn id="8" xr3:uid="{42452F25-2F8C-4143-AF97-9940F73FABD9}" name="Follow-Up Date" dataDxfId="14">
      <calculatedColumnFormula>Table1[[#This Row],[Date Applied]]+14</calculatedColumnFormula>
    </tableColumn>
    <tableColumn id="9" xr3:uid="{FCB5C785-7B71-41E2-AE53-FEC350429F98}" name="Contact Person" dataDxfId="13"/>
    <tableColumn id="10" xr3:uid="{0F7D8DE3-F972-420D-A0D9-C0F958CED9E3}" name="Salary Range" dataDxfId="12"/>
    <tableColumn id="11" xr3:uid="{9D74FAA1-0884-436B-AB18-C5D9597896CA}" name="Link" dataDxfId="11"/>
    <tableColumn id="12" xr3:uid="{9962CBAB-3CAD-499B-87F5-2029BC92893D}" name="Notes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1C531D-5F89-418A-947A-09576298BEF2}" name="Table2" displayName="Table2" ref="B2:K12" totalsRowShown="0" headerRowDxfId="50">
  <autoFilter ref="B2:K12" xr:uid="{141C531D-5F89-418A-947A-09576298BEF2}"/>
  <tableColumns count="10">
    <tableColumn id="1" xr3:uid="{7C691690-3DC0-4A95-97F5-E05132B42CC0}" name="#" dataDxfId="49"/>
    <tableColumn id="2" xr3:uid="{8A16F82E-0927-407F-A902-E09FF6821888}" name="Company"/>
    <tableColumn id="3" xr3:uid="{8CA3942B-9ADB-44D6-BDC6-2914E495B648}" name="Position"/>
    <tableColumn id="4" xr3:uid="{BED7C94C-81C0-4B1B-B166-D0EB6C100F72}" name="Location" dataDxfId="48"/>
    <tableColumn id="5" xr3:uid="{E4BA19BC-6AD7-4792-8B75-77B2CDE0E613}" name="Job Type" dataDxfId="47"/>
    <tableColumn id="6" xr3:uid="{0B2D1197-47BF-492D-A06B-A4A45EFCB82A}" name="Deadline" dataDxfId="46"/>
    <tableColumn id="7" xr3:uid="{F488A1AF-2E9D-4310-BB48-7AE74BD8304F}" name="Days Left to Apply" dataDxfId="45">
      <calculatedColumnFormula>Table2[[#This Row],[Deadline]]-TODAY()</calculatedColumnFormula>
    </tableColumn>
    <tableColumn id="8" xr3:uid="{F9795912-3C66-4624-BCF4-31C55EBE96CD}" name="Salary Range"/>
    <tableColumn id="9" xr3:uid="{BD0D68B1-2098-4ECA-91BD-AEFB8752AE77}" name="Link / URL"/>
    <tableColumn id="10" xr3:uid="{7A037BAA-3B68-4D58-A1A0-6A87F0A7ECCF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C570-94DB-494E-A779-23655E3D4516}">
  <dimension ref="B2:Q45"/>
  <sheetViews>
    <sheetView tabSelected="1" zoomScale="56" zoomScaleNormal="115" workbookViewId="0">
      <selection activeCell="O23" sqref="O23"/>
    </sheetView>
  </sheetViews>
  <sheetFormatPr defaultColWidth="11.19921875" defaultRowHeight="15.6" x14ac:dyDescent="0.3"/>
  <cols>
    <col min="1" max="1" width="4" customWidth="1"/>
    <col min="2" max="2" width="3.796875" style="1" bestFit="1" customWidth="1"/>
    <col min="3" max="3" width="12.09765625" bestFit="1" customWidth="1"/>
    <col min="4" max="4" width="27.69921875" bestFit="1" customWidth="1"/>
    <col min="5" max="5" width="19.09765625" bestFit="1" customWidth="1"/>
    <col min="6" max="6" width="11.8984375" style="2" bestFit="1" customWidth="1"/>
    <col min="7" max="7" width="16.3984375" style="3" bestFit="1" customWidth="1"/>
    <col min="8" max="8" width="12.796875" bestFit="1" customWidth="1"/>
    <col min="9" max="9" width="19.296875" style="1" bestFit="1" customWidth="1"/>
    <col min="10" max="10" width="15.296875" customWidth="1"/>
    <col min="11" max="11" width="17" bestFit="1" customWidth="1"/>
    <col min="12" max="12" width="36.59765625" bestFit="1" customWidth="1"/>
    <col min="13" max="13" width="41.09765625" bestFit="1" customWidth="1"/>
    <col min="15" max="15" width="13.59765625" style="1" bestFit="1" customWidth="1"/>
    <col min="16" max="16" width="13.19921875" style="1" bestFit="1" customWidth="1"/>
    <col min="17" max="17" width="11.19921875" style="1"/>
  </cols>
  <sheetData>
    <row r="2" spans="15:16" x14ac:dyDescent="0.3">
      <c r="O2" s="7" t="s">
        <v>169</v>
      </c>
    </row>
    <row r="3" spans="15:16" x14ac:dyDescent="0.3">
      <c r="O3" s="1" t="s">
        <v>55</v>
      </c>
      <c r="P3" s="1">
        <f>COUNTIF(Table4[Status],O3)</f>
        <v>6</v>
      </c>
    </row>
    <row r="4" spans="15:16" x14ac:dyDescent="0.3">
      <c r="O4" s="1" t="s">
        <v>167</v>
      </c>
      <c r="P4" s="1">
        <f>COUNTIF(Table4[Status],O4)</f>
        <v>6</v>
      </c>
    </row>
    <row r="5" spans="15:16" x14ac:dyDescent="0.3">
      <c r="O5" s="1" t="s">
        <v>168</v>
      </c>
      <c r="P5" s="1">
        <v>4</v>
      </c>
    </row>
    <row r="6" spans="15:16" x14ac:dyDescent="0.3">
      <c r="O6" s="1" t="s">
        <v>33</v>
      </c>
      <c r="P6" s="1">
        <f>COUNTIF(Table4[Status],O6)</f>
        <v>6</v>
      </c>
    </row>
    <row r="7" spans="15:16" x14ac:dyDescent="0.3">
      <c r="O7" s="1" t="s">
        <v>47</v>
      </c>
      <c r="P7" s="1">
        <f>COUNTIF(Table4[Status],O7)</f>
        <v>7</v>
      </c>
    </row>
    <row r="8" spans="15:16" x14ac:dyDescent="0.3">
      <c r="O8" s="7" t="s">
        <v>171</v>
      </c>
      <c r="P8" s="1">
        <f>SUM(P3:P7)</f>
        <v>29</v>
      </c>
    </row>
    <row r="9" spans="15:16" x14ac:dyDescent="0.3">
      <c r="O9" s="1" t="s">
        <v>227</v>
      </c>
      <c r="P9" s="1">
        <f>SUM(P3:P6)</f>
        <v>22</v>
      </c>
    </row>
    <row r="11" spans="15:16" x14ac:dyDescent="0.3">
      <c r="O11" s="7" t="s">
        <v>228</v>
      </c>
    </row>
    <row r="12" spans="15:16" x14ac:dyDescent="0.3">
      <c r="O12" s="1" t="str" cm="1">
        <f t="array" ref="O12:O15">_xlfn.UNIQUE(Table4[Job Type])</f>
        <v>In-Person</v>
      </c>
      <c r="P12" s="1">
        <f>COUNTIF(Table4[Job Type],O12)</f>
        <v>16</v>
      </c>
    </row>
    <row r="13" spans="15:16" x14ac:dyDescent="0.3">
      <c r="O13" s="1" t="str">
        <v>Remote</v>
      </c>
      <c r="P13" s="1">
        <v>7</v>
      </c>
    </row>
    <row r="14" spans="15:16" x14ac:dyDescent="0.3">
      <c r="O14" s="1" t="str">
        <v>Travel</v>
      </c>
      <c r="P14" s="1">
        <f>COUNTIF(Table4[Job Type],O14)</f>
        <v>3</v>
      </c>
    </row>
    <row r="15" spans="15:16" x14ac:dyDescent="0.3">
      <c r="O15" s="1" t="str">
        <v>Hybrid</v>
      </c>
      <c r="P15" s="1">
        <f>COUNTIF(Table4[Job Type],O15)</f>
        <v>1</v>
      </c>
    </row>
    <row r="17" spans="2:17" x14ac:dyDescent="0.3">
      <c r="B17" s="12" t="s">
        <v>0</v>
      </c>
      <c r="C17" s="5" t="s">
        <v>1</v>
      </c>
      <c r="D17" s="5" t="s">
        <v>2</v>
      </c>
      <c r="E17" s="5" t="s">
        <v>3</v>
      </c>
      <c r="F17" s="5" t="s">
        <v>4</v>
      </c>
      <c r="G17" s="13" t="s">
        <v>5</v>
      </c>
      <c r="H17" s="5" t="s">
        <v>6</v>
      </c>
      <c r="I17" s="5" t="s">
        <v>7</v>
      </c>
      <c r="J17" s="5" t="s">
        <v>8</v>
      </c>
      <c r="K17" s="5" t="s">
        <v>9</v>
      </c>
      <c r="L17" s="5" t="s">
        <v>226</v>
      </c>
      <c r="M17" s="14" t="s">
        <v>11</v>
      </c>
    </row>
    <row r="18" spans="2:17" x14ac:dyDescent="0.3">
      <c r="B18" s="1">
        <v>1</v>
      </c>
      <c r="C18" s="1" t="s">
        <v>12</v>
      </c>
      <c r="D18" s="1" t="s">
        <v>13</v>
      </c>
      <c r="E18" s="1" t="s">
        <v>14</v>
      </c>
      <c r="F18" s="1" t="s">
        <v>161</v>
      </c>
      <c r="G18" s="3">
        <v>46113</v>
      </c>
      <c r="H18" s="1" t="s">
        <v>55</v>
      </c>
      <c r="I18" s="3">
        <f>G18+14</f>
        <v>46127</v>
      </c>
      <c r="J18" s="1" t="s">
        <v>164</v>
      </c>
      <c r="K18" s="1" t="s">
        <v>164</v>
      </c>
      <c r="L18" s="1" t="s">
        <v>15</v>
      </c>
      <c r="M18" s="1" t="s">
        <v>16</v>
      </c>
    </row>
    <row r="19" spans="2:17" x14ac:dyDescent="0.3">
      <c r="B19" s="1">
        <v>2</v>
      </c>
      <c r="C19" s="1" t="s">
        <v>17</v>
      </c>
      <c r="D19" s="1" t="s">
        <v>18</v>
      </c>
      <c r="E19" s="1" t="s">
        <v>19</v>
      </c>
      <c r="F19" s="1" t="s">
        <v>161</v>
      </c>
      <c r="G19" s="3">
        <v>46108</v>
      </c>
      <c r="H19" s="1" t="s">
        <v>167</v>
      </c>
      <c r="I19" s="3">
        <f t="shared" ref="I19:I42" si="0">G19+14</f>
        <v>46122</v>
      </c>
      <c r="J19" s="1" t="s">
        <v>20</v>
      </c>
      <c r="K19" s="1" t="s">
        <v>164</v>
      </c>
      <c r="L19" s="1" t="s">
        <v>22</v>
      </c>
      <c r="M19" s="1" t="s">
        <v>23</v>
      </c>
    </row>
    <row r="20" spans="2:17" x14ac:dyDescent="0.3">
      <c r="B20" s="1">
        <v>3</v>
      </c>
      <c r="C20" s="1" t="s">
        <v>24</v>
      </c>
      <c r="D20" s="1" t="s">
        <v>25</v>
      </c>
      <c r="E20" s="1" t="s">
        <v>26</v>
      </c>
      <c r="F20" s="1" t="s">
        <v>26</v>
      </c>
      <c r="G20" s="3">
        <v>46101</v>
      </c>
      <c r="H20" s="1" t="s">
        <v>168</v>
      </c>
      <c r="I20" s="3">
        <f t="shared" si="0"/>
        <v>46115</v>
      </c>
      <c r="J20" s="1" t="s">
        <v>164</v>
      </c>
      <c r="K20" s="1" t="s">
        <v>27</v>
      </c>
      <c r="L20" s="1" t="s">
        <v>28</v>
      </c>
      <c r="M20" s="1" t="s">
        <v>29</v>
      </c>
    </row>
    <row r="21" spans="2:17" x14ac:dyDescent="0.3">
      <c r="B21" s="1">
        <v>4</v>
      </c>
      <c r="C21" s="1" t="s">
        <v>30</v>
      </c>
      <c r="D21" s="1" t="s">
        <v>31</v>
      </c>
      <c r="E21" s="1" t="s">
        <v>32</v>
      </c>
      <c r="F21" s="1" t="s">
        <v>161</v>
      </c>
      <c r="G21" s="3">
        <v>46095</v>
      </c>
      <c r="H21" s="1" t="s">
        <v>33</v>
      </c>
      <c r="I21" s="3">
        <f t="shared" si="0"/>
        <v>46109</v>
      </c>
      <c r="J21" s="1" t="s">
        <v>34</v>
      </c>
      <c r="K21" s="1" t="s">
        <v>35</v>
      </c>
      <c r="L21" s="1" t="s">
        <v>36</v>
      </c>
      <c r="M21" s="1" t="s">
        <v>37</v>
      </c>
    </row>
    <row r="22" spans="2:17" x14ac:dyDescent="0.3">
      <c r="B22" s="1">
        <v>5</v>
      </c>
      <c r="C22" s="1" t="s">
        <v>38</v>
      </c>
      <c r="D22" s="1" t="s">
        <v>39</v>
      </c>
      <c r="E22" s="1" t="s">
        <v>26</v>
      </c>
      <c r="F22" s="1" t="s">
        <v>26</v>
      </c>
      <c r="G22" s="3">
        <v>46110</v>
      </c>
      <c r="H22" s="1" t="s">
        <v>167</v>
      </c>
      <c r="I22" s="3">
        <f t="shared" si="0"/>
        <v>46124</v>
      </c>
      <c r="J22" s="1" t="s">
        <v>40</v>
      </c>
      <c r="K22" s="1" t="s">
        <v>41</v>
      </c>
      <c r="L22" s="1" t="s">
        <v>42</v>
      </c>
      <c r="M22" s="1" t="s">
        <v>43</v>
      </c>
    </row>
    <row r="23" spans="2:17" x14ac:dyDescent="0.3">
      <c r="B23" s="1">
        <v>6</v>
      </c>
      <c r="C23" s="1" t="s">
        <v>44</v>
      </c>
      <c r="D23" s="1" t="s">
        <v>45</v>
      </c>
      <c r="E23" s="1" t="s">
        <v>46</v>
      </c>
      <c r="F23" s="1" t="s">
        <v>161</v>
      </c>
      <c r="G23" s="3">
        <v>46090</v>
      </c>
      <c r="H23" s="1" t="s">
        <v>55</v>
      </c>
      <c r="I23" s="3">
        <f t="shared" si="0"/>
        <v>46104</v>
      </c>
      <c r="J23" s="1" t="s">
        <v>48</v>
      </c>
      <c r="K23" s="1" t="s">
        <v>49</v>
      </c>
      <c r="L23" s="1" t="s">
        <v>50</v>
      </c>
      <c r="M23" s="1" t="s">
        <v>51</v>
      </c>
    </row>
    <row r="24" spans="2:17" x14ac:dyDescent="0.3">
      <c r="B24" s="1">
        <v>7</v>
      </c>
      <c r="C24" s="1" t="s">
        <v>52</v>
      </c>
      <c r="D24" s="1" t="s">
        <v>53</v>
      </c>
      <c r="E24" s="1" t="s">
        <v>54</v>
      </c>
      <c r="F24" s="1" t="s">
        <v>161</v>
      </c>
      <c r="G24" s="3">
        <v>46112</v>
      </c>
      <c r="H24" s="1" t="s">
        <v>55</v>
      </c>
      <c r="I24" s="3">
        <f t="shared" si="0"/>
        <v>46126</v>
      </c>
      <c r="J24" s="1" t="s">
        <v>164</v>
      </c>
      <c r="K24" s="1" t="s">
        <v>56</v>
      </c>
      <c r="L24" s="1" t="s">
        <v>57</v>
      </c>
      <c r="M24" s="1" t="s">
        <v>58</v>
      </c>
    </row>
    <row r="25" spans="2:17" x14ac:dyDescent="0.3">
      <c r="B25" s="1">
        <v>8</v>
      </c>
      <c r="C25" s="1" t="s">
        <v>59</v>
      </c>
      <c r="D25" s="1" t="s">
        <v>60</v>
      </c>
      <c r="E25" s="1" t="s">
        <v>61</v>
      </c>
      <c r="F25" s="1" t="s">
        <v>161</v>
      </c>
      <c r="G25" s="3">
        <v>46105</v>
      </c>
      <c r="H25" s="1" t="s">
        <v>167</v>
      </c>
      <c r="I25" s="3">
        <f t="shared" si="0"/>
        <v>46119</v>
      </c>
      <c r="J25" s="1" t="s">
        <v>164</v>
      </c>
      <c r="K25" s="1" t="s">
        <v>62</v>
      </c>
      <c r="L25" s="1" t="s">
        <v>63</v>
      </c>
      <c r="M25" s="1" t="s">
        <v>64</v>
      </c>
    </row>
    <row r="26" spans="2:17" x14ac:dyDescent="0.3">
      <c r="B26" s="1">
        <v>9</v>
      </c>
      <c r="C26" s="1" t="s">
        <v>65</v>
      </c>
      <c r="D26" s="1" t="s">
        <v>66</v>
      </c>
      <c r="E26" s="1" t="s">
        <v>67</v>
      </c>
      <c r="F26" s="1" t="s">
        <v>170</v>
      </c>
      <c r="G26" s="3">
        <v>46098</v>
      </c>
      <c r="H26" s="1" t="s">
        <v>33</v>
      </c>
      <c r="I26" s="3">
        <f t="shared" si="0"/>
        <v>46112</v>
      </c>
      <c r="J26" s="1" t="s">
        <v>68</v>
      </c>
      <c r="K26" s="1" t="s">
        <v>164</v>
      </c>
      <c r="L26" s="1" t="s">
        <v>69</v>
      </c>
      <c r="M26" s="1" t="s">
        <v>163</v>
      </c>
    </row>
    <row r="27" spans="2:17" ht="19.8" customHeight="1" x14ac:dyDescent="0.3">
      <c r="B27" s="1">
        <v>10</v>
      </c>
      <c r="C27" s="1" t="s">
        <v>70</v>
      </c>
      <c r="D27" s="1" t="s">
        <v>71</v>
      </c>
      <c r="E27" s="1" t="s">
        <v>72</v>
      </c>
      <c r="F27" s="1" t="s">
        <v>170</v>
      </c>
      <c r="G27" s="3">
        <v>46100</v>
      </c>
      <c r="H27" s="1" t="s">
        <v>55</v>
      </c>
      <c r="I27" s="3">
        <f t="shared" si="0"/>
        <v>46114</v>
      </c>
      <c r="J27" s="1" t="s">
        <v>73</v>
      </c>
      <c r="K27" s="1" t="s">
        <v>164</v>
      </c>
      <c r="L27" s="1" t="s">
        <v>74</v>
      </c>
      <c r="M27" s="1" t="s">
        <v>75</v>
      </c>
      <c r="Q27" s="7"/>
    </row>
    <row r="28" spans="2:17" ht="19.8" customHeight="1" x14ac:dyDescent="0.3">
      <c r="B28" s="1">
        <v>11</v>
      </c>
      <c r="C28" s="1" t="s">
        <v>76</v>
      </c>
      <c r="D28" s="1" t="s">
        <v>77</v>
      </c>
      <c r="E28" s="1" t="s">
        <v>78</v>
      </c>
      <c r="F28" s="1" t="s">
        <v>161</v>
      </c>
      <c r="G28" s="3">
        <v>46087</v>
      </c>
      <c r="H28" s="1" t="s">
        <v>55</v>
      </c>
      <c r="I28" s="3">
        <f t="shared" si="0"/>
        <v>46101</v>
      </c>
      <c r="J28" s="1" t="s">
        <v>79</v>
      </c>
      <c r="K28" s="1" t="s">
        <v>80</v>
      </c>
      <c r="L28" s="1" t="s">
        <v>81</v>
      </c>
      <c r="M28" s="1" t="s">
        <v>82</v>
      </c>
    </row>
    <row r="29" spans="2:17" ht="19.8" customHeight="1" x14ac:dyDescent="0.3">
      <c r="B29" s="1">
        <v>12</v>
      </c>
      <c r="C29" s="1" t="s">
        <v>83</v>
      </c>
      <c r="D29" s="1" t="s">
        <v>84</v>
      </c>
      <c r="E29" s="1" t="s">
        <v>54</v>
      </c>
      <c r="F29" s="1" t="s">
        <v>161</v>
      </c>
      <c r="G29" s="3">
        <v>46109</v>
      </c>
      <c r="H29" s="1" t="s">
        <v>55</v>
      </c>
      <c r="I29" s="3">
        <f t="shared" si="0"/>
        <v>46123</v>
      </c>
      <c r="J29" s="1" t="s">
        <v>85</v>
      </c>
      <c r="K29" s="1" t="s">
        <v>86</v>
      </c>
      <c r="L29" s="1" t="s">
        <v>87</v>
      </c>
      <c r="M29" s="1" t="s">
        <v>88</v>
      </c>
    </row>
    <row r="30" spans="2:17" ht="19.8" customHeight="1" x14ac:dyDescent="0.3">
      <c r="B30" s="1">
        <v>13</v>
      </c>
      <c r="C30" s="1" t="s">
        <v>89</v>
      </c>
      <c r="D30" s="1" t="s">
        <v>90</v>
      </c>
      <c r="E30" s="1" t="s">
        <v>91</v>
      </c>
      <c r="F30" s="1" t="s">
        <v>170</v>
      </c>
      <c r="G30" s="3">
        <v>46093</v>
      </c>
      <c r="H30" s="1" t="s">
        <v>167</v>
      </c>
      <c r="I30" s="3">
        <f t="shared" si="0"/>
        <v>46107</v>
      </c>
      <c r="J30" s="1" t="s">
        <v>164</v>
      </c>
      <c r="K30" s="1" t="s">
        <v>92</v>
      </c>
      <c r="L30" s="1" t="s">
        <v>93</v>
      </c>
      <c r="M30" s="1" t="s">
        <v>94</v>
      </c>
    </row>
    <row r="31" spans="2:17" ht="19.8" customHeight="1" x14ac:dyDescent="0.3">
      <c r="B31" s="1">
        <v>14</v>
      </c>
      <c r="C31" s="1" t="s">
        <v>95</v>
      </c>
      <c r="D31" s="1" t="s">
        <v>96</v>
      </c>
      <c r="E31" s="1" t="s">
        <v>26</v>
      </c>
      <c r="F31" s="1" t="s">
        <v>26</v>
      </c>
      <c r="G31" s="3">
        <v>46106</v>
      </c>
      <c r="H31" s="1" t="s">
        <v>167</v>
      </c>
      <c r="I31" s="3">
        <f t="shared" si="0"/>
        <v>46120</v>
      </c>
      <c r="J31" s="1" t="s">
        <v>97</v>
      </c>
      <c r="K31" s="1" t="s">
        <v>98</v>
      </c>
      <c r="L31" s="1" t="s">
        <v>99</v>
      </c>
      <c r="M31" s="1" t="s">
        <v>100</v>
      </c>
    </row>
    <row r="32" spans="2:17" x14ac:dyDescent="0.3">
      <c r="B32" s="1">
        <v>15</v>
      </c>
      <c r="C32" s="1" t="s">
        <v>101</v>
      </c>
      <c r="D32" s="1" t="s">
        <v>102</v>
      </c>
      <c r="E32" s="1" t="s">
        <v>26</v>
      </c>
      <c r="F32" s="1" t="s">
        <v>26</v>
      </c>
      <c r="G32" s="3">
        <v>46097</v>
      </c>
      <c r="H32" s="1" t="s">
        <v>168</v>
      </c>
      <c r="I32" s="3">
        <f t="shared" si="0"/>
        <v>46111</v>
      </c>
      <c r="J32" s="1" t="s">
        <v>103</v>
      </c>
      <c r="K32" s="1" t="s">
        <v>104</v>
      </c>
      <c r="L32" s="1" t="s">
        <v>105</v>
      </c>
      <c r="M32" s="1" t="s">
        <v>106</v>
      </c>
    </row>
    <row r="33" spans="2:13" x14ac:dyDescent="0.3">
      <c r="B33" s="1">
        <v>16</v>
      </c>
      <c r="C33" s="1" t="s">
        <v>107</v>
      </c>
      <c r="D33" s="1" t="s">
        <v>108</v>
      </c>
      <c r="E33" s="1" t="s">
        <v>54</v>
      </c>
      <c r="F33" s="1" t="s">
        <v>162</v>
      </c>
      <c r="G33" s="3">
        <v>46111</v>
      </c>
      <c r="H33" s="1" t="s">
        <v>33</v>
      </c>
      <c r="I33" s="3">
        <f t="shared" si="0"/>
        <v>46125</v>
      </c>
      <c r="J33" s="1" t="s">
        <v>109</v>
      </c>
      <c r="K33" s="1" t="s">
        <v>110</v>
      </c>
      <c r="L33" s="1" t="s">
        <v>111</v>
      </c>
      <c r="M33" s="1" t="s">
        <v>112</v>
      </c>
    </row>
    <row r="34" spans="2:13" x14ac:dyDescent="0.3">
      <c r="B34" s="1">
        <v>17</v>
      </c>
      <c r="C34" s="1" t="s">
        <v>113</v>
      </c>
      <c r="D34" s="1" t="s">
        <v>60</v>
      </c>
      <c r="E34" s="1" t="s">
        <v>61</v>
      </c>
      <c r="F34" s="1" t="s">
        <v>161</v>
      </c>
      <c r="G34" s="3">
        <v>46089</v>
      </c>
      <c r="H34" s="1" t="s">
        <v>168</v>
      </c>
      <c r="I34" s="3">
        <f t="shared" si="0"/>
        <v>46103</v>
      </c>
      <c r="J34" s="1" t="s">
        <v>114</v>
      </c>
      <c r="K34" s="1" t="s">
        <v>21</v>
      </c>
      <c r="L34" s="1" t="s">
        <v>115</v>
      </c>
      <c r="M34" s="1" t="s">
        <v>116</v>
      </c>
    </row>
    <row r="35" spans="2:13" x14ac:dyDescent="0.3">
      <c r="B35" s="1">
        <v>18</v>
      </c>
      <c r="C35" s="1" t="s">
        <v>117</v>
      </c>
      <c r="D35" s="1" t="s">
        <v>118</v>
      </c>
      <c r="E35" s="1" t="s">
        <v>119</v>
      </c>
      <c r="F35" s="1" t="s">
        <v>161</v>
      </c>
      <c r="G35" s="3">
        <v>46102</v>
      </c>
      <c r="H35" s="1" t="s">
        <v>47</v>
      </c>
      <c r="I35" s="3">
        <f t="shared" si="0"/>
        <v>46116</v>
      </c>
      <c r="J35" s="1" t="s">
        <v>120</v>
      </c>
      <c r="K35" s="1" t="s">
        <v>121</v>
      </c>
      <c r="L35" s="1" t="s">
        <v>122</v>
      </c>
      <c r="M35" s="1" t="s">
        <v>123</v>
      </c>
    </row>
    <row r="36" spans="2:13" x14ac:dyDescent="0.3">
      <c r="B36" s="1">
        <v>19</v>
      </c>
      <c r="C36" s="1" t="s">
        <v>124</v>
      </c>
      <c r="D36" s="1" t="s">
        <v>125</v>
      </c>
      <c r="E36" s="1" t="s">
        <v>26</v>
      </c>
      <c r="F36" s="1" t="s">
        <v>26</v>
      </c>
      <c r="G36" s="3">
        <v>46107</v>
      </c>
      <c r="H36" s="1" t="s">
        <v>47</v>
      </c>
      <c r="I36" s="3">
        <f t="shared" si="0"/>
        <v>46121</v>
      </c>
      <c r="J36" s="1" t="s">
        <v>164</v>
      </c>
      <c r="K36" s="1" t="s">
        <v>126</v>
      </c>
      <c r="L36" s="1" t="s">
        <v>127</v>
      </c>
      <c r="M36" s="1" t="s">
        <v>128</v>
      </c>
    </row>
    <row r="37" spans="2:13" x14ac:dyDescent="0.3">
      <c r="B37" s="1">
        <v>20</v>
      </c>
      <c r="C37" s="1" t="s">
        <v>129</v>
      </c>
      <c r="D37" s="1" t="s">
        <v>130</v>
      </c>
      <c r="E37" s="1" t="s">
        <v>131</v>
      </c>
      <c r="F37" s="1" t="s">
        <v>161</v>
      </c>
      <c r="G37" s="3">
        <v>46104</v>
      </c>
      <c r="H37" s="1" t="s">
        <v>47</v>
      </c>
      <c r="I37" s="3">
        <f t="shared" si="0"/>
        <v>46118</v>
      </c>
      <c r="J37" s="1" t="s">
        <v>132</v>
      </c>
      <c r="K37" s="1" t="s">
        <v>133</v>
      </c>
      <c r="L37" s="1" t="s">
        <v>134</v>
      </c>
      <c r="M37" s="1" t="s">
        <v>135</v>
      </c>
    </row>
    <row r="38" spans="2:13" x14ac:dyDescent="0.3">
      <c r="B38" s="1">
        <v>21</v>
      </c>
      <c r="C38" s="1" t="s">
        <v>136</v>
      </c>
      <c r="D38" s="1" t="s">
        <v>137</v>
      </c>
      <c r="E38" s="1" t="s">
        <v>61</v>
      </c>
      <c r="F38" s="1" t="s">
        <v>161</v>
      </c>
      <c r="G38" s="3">
        <v>46096</v>
      </c>
      <c r="H38" s="1" t="s">
        <v>47</v>
      </c>
      <c r="I38" s="3">
        <f t="shared" si="0"/>
        <v>46110</v>
      </c>
      <c r="J38" s="1" t="s">
        <v>138</v>
      </c>
      <c r="K38" s="1" t="s">
        <v>139</v>
      </c>
      <c r="L38" s="1" t="s">
        <v>140</v>
      </c>
      <c r="M38" s="1" t="s">
        <v>141</v>
      </c>
    </row>
    <row r="39" spans="2:13" x14ac:dyDescent="0.3">
      <c r="B39" s="1">
        <v>22</v>
      </c>
      <c r="C39" s="1" t="s">
        <v>142</v>
      </c>
      <c r="D39" s="1" t="s">
        <v>143</v>
      </c>
      <c r="E39" s="1" t="s">
        <v>54</v>
      </c>
      <c r="F39" s="1" t="s">
        <v>161</v>
      </c>
      <c r="G39" s="3">
        <v>46099</v>
      </c>
      <c r="H39" s="1" t="s">
        <v>47</v>
      </c>
      <c r="I39" s="3">
        <f t="shared" si="0"/>
        <v>46113</v>
      </c>
      <c r="J39" s="1" t="s">
        <v>164</v>
      </c>
      <c r="K39" s="1" t="s">
        <v>144</v>
      </c>
      <c r="L39" s="1" t="s">
        <v>145</v>
      </c>
      <c r="M39" s="1" t="s">
        <v>146</v>
      </c>
    </row>
    <row r="40" spans="2:13" x14ac:dyDescent="0.3">
      <c r="B40" s="1">
        <v>23</v>
      </c>
      <c r="C40" s="1" t="s">
        <v>147</v>
      </c>
      <c r="D40" s="1" t="s">
        <v>148</v>
      </c>
      <c r="E40" s="1" t="s">
        <v>26</v>
      </c>
      <c r="F40" s="1" t="s">
        <v>26</v>
      </c>
      <c r="G40" s="3">
        <v>46110</v>
      </c>
      <c r="H40" s="1" t="s">
        <v>47</v>
      </c>
      <c r="I40" s="3">
        <f t="shared" si="0"/>
        <v>46124</v>
      </c>
      <c r="J40" s="1" t="s">
        <v>149</v>
      </c>
      <c r="K40" s="1" t="s">
        <v>150</v>
      </c>
      <c r="L40" s="1" t="s">
        <v>151</v>
      </c>
      <c r="M40" s="1" t="s">
        <v>152</v>
      </c>
    </row>
    <row r="41" spans="2:13" x14ac:dyDescent="0.3">
      <c r="B41" s="1">
        <v>24</v>
      </c>
      <c r="C41" s="1" t="s">
        <v>153</v>
      </c>
      <c r="D41" s="1" t="s">
        <v>60</v>
      </c>
      <c r="E41" s="1" t="s">
        <v>54</v>
      </c>
      <c r="F41" s="1" t="s">
        <v>161</v>
      </c>
      <c r="G41" s="3">
        <v>46103</v>
      </c>
      <c r="H41" s="1" t="s">
        <v>47</v>
      </c>
      <c r="I41" s="3">
        <f t="shared" si="0"/>
        <v>46117</v>
      </c>
      <c r="J41" s="1" t="s">
        <v>154</v>
      </c>
      <c r="K41" s="1" t="s">
        <v>86</v>
      </c>
      <c r="L41" s="1" t="s">
        <v>155</v>
      </c>
      <c r="M41" s="1" t="s">
        <v>156</v>
      </c>
    </row>
    <row r="42" spans="2:13" x14ac:dyDescent="0.3">
      <c r="B42" s="1">
        <v>25</v>
      </c>
      <c r="C42" s="1" t="s">
        <v>157</v>
      </c>
      <c r="D42" s="1" t="s">
        <v>158</v>
      </c>
      <c r="E42" s="1" t="s">
        <v>26</v>
      </c>
      <c r="F42" s="1" t="s">
        <v>26</v>
      </c>
      <c r="G42" s="3">
        <v>46112</v>
      </c>
      <c r="H42" s="1" t="s">
        <v>167</v>
      </c>
      <c r="I42" s="3">
        <f t="shared" si="0"/>
        <v>46126</v>
      </c>
      <c r="J42" s="1" t="s">
        <v>164</v>
      </c>
      <c r="K42" s="1" t="s">
        <v>27</v>
      </c>
      <c r="L42" s="1" t="s">
        <v>159</v>
      </c>
      <c r="M42" s="1" t="s">
        <v>160</v>
      </c>
    </row>
    <row r="43" spans="2:13" x14ac:dyDescent="0.3">
      <c r="B43" s="1">
        <v>26</v>
      </c>
      <c r="C43" s="1" t="s">
        <v>229</v>
      </c>
      <c r="D43" s="1" t="s">
        <v>232</v>
      </c>
      <c r="E43" s="1" t="s">
        <v>235</v>
      </c>
      <c r="F43" s="1" t="s">
        <v>161</v>
      </c>
      <c r="G43" s="3">
        <v>46113</v>
      </c>
      <c r="H43" s="1" t="s">
        <v>33</v>
      </c>
      <c r="I43" s="3">
        <f>G43+14</f>
        <v>46127</v>
      </c>
      <c r="J43" s="1" t="s">
        <v>237</v>
      </c>
      <c r="K43" s="1" t="s">
        <v>49</v>
      </c>
      <c r="L43" s="1" t="s">
        <v>240</v>
      </c>
      <c r="M43" s="1" t="s">
        <v>243</v>
      </c>
    </row>
    <row r="44" spans="2:13" x14ac:dyDescent="0.3">
      <c r="B44" s="1">
        <v>27</v>
      </c>
      <c r="C44" s="1" t="s">
        <v>230</v>
      </c>
      <c r="D44" s="1" t="s">
        <v>233</v>
      </c>
      <c r="E44" s="1" t="s">
        <v>236</v>
      </c>
      <c r="F44" s="1" t="s">
        <v>161</v>
      </c>
      <c r="G44" s="3">
        <v>46114</v>
      </c>
      <c r="H44" s="1" t="s">
        <v>33</v>
      </c>
      <c r="I44" s="3">
        <f>G44+14</f>
        <v>46128</v>
      </c>
      <c r="J44" s="1" t="s">
        <v>238</v>
      </c>
      <c r="K44" s="1" t="s">
        <v>245</v>
      </c>
      <c r="L44" s="1" t="s">
        <v>241</v>
      </c>
      <c r="M44" s="1" t="s">
        <v>244</v>
      </c>
    </row>
    <row r="45" spans="2:13" x14ac:dyDescent="0.3">
      <c r="B45" s="1">
        <v>28</v>
      </c>
      <c r="C45" s="1" t="s">
        <v>231</v>
      </c>
      <c r="D45" s="1" t="s">
        <v>234</v>
      </c>
      <c r="E45" s="1" t="s">
        <v>26</v>
      </c>
      <c r="F45" s="1" t="s">
        <v>26</v>
      </c>
      <c r="G45" s="3">
        <v>46115</v>
      </c>
      <c r="H45" s="1" t="s">
        <v>33</v>
      </c>
      <c r="I45" s="3">
        <f>G45+14</f>
        <v>46129</v>
      </c>
      <c r="J45" s="1" t="s">
        <v>239</v>
      </c>
      <c r="K45" s="1" t="s">
        <v>121</v>
      </c>
      <c r="L45" s="1" t="s">
        <v>242</v>
      </c>
      <c r="M45" s="1" t="s">
        <v>246</v>
      </c>
    </row>
  </sheetData>
  <conditionalFormatting sqref="H1:H1048576">
    <cfRule type="cellIs" dxfId="9" priority="1" operator="equal">
      <formula>"assessment"</formula>
    </cfRule>
    <cfRule type="cellIs" dxfId="8" priority="2" operator="equal">
      <formula>"rejected"</formula>
    </cfRule>
    <cfRule type="cellIs" dxfId="7" priority="3" operator="equal">
      <formula>"Offer"</formula>
    </cfRule>
  </conditionalFormatting>
  <dataValidations count="1">
    <dataValidation type="list" allowBlank="1" showInputMessage="1" showErrorMessage="1" sqref="H1:H1048576" xr:uid="{3AB4F9C4-E820-4B51-98E2-721B339C01F3}">
      <formula1>$O$3:$O$7</formula1>
    </dataValidation>
  </dataValidations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C53D-4734-4C44-ABEC-6D43A2CC016C}">
  <dimension ref="B2:M13"/>
  <sheetViews>
    <sheetView zoomScale="90" workbookViewId="0">
      <selection activeCell="H20" sqref="H20"/>
    </sheetView>
  </sheetViews>
  <sheetFormatPr defaultColWidth="8.796875" defaultRowHeight="15.6" x14ac:dyDescent="0.3"/>
  <cols>
    <col min="2" max="2" width="6.3984375" bestFit="1" customWidth="1"/>
    <col min="3" max="3" width="11.09765625" bestFit="1" customWidth="1"/>
    <col min="4" max="4" width="22.296875" bestFit="1" customWidth="1"/>
    <col min="5" max="5" width="15.69921875" style="10" bestFit="1" customWidth="1"/>
    <col min="6" max="6" width="8.69921875" bestFit="1" customWidth="1"/>
    <col min="7" max="7" width="12.8984375" style="16" bestFit="1" customWidth="1"/>
    <col min="8" max="8" width="32.8984375" customWidth="1"/>
    <col min="9" max="9" width="13.69921875" bestFit="1" customWidth="1"/>
    <col min="10" max="10" width="23.19921875" bestFit="1" customWidth="1"/>
    <col min="11" max="11" width="35" bestFit="1" customWidth="1"/>
    <col min="13" max="13" width="8.796875" style="1"/>
  </cols>
  <sheetData>
    <row r="2" spans="2:13" x14ac:dyDescent="0.3">
      <c r="B2" s="5" t="s">
        <v>0</v>
      </c>
      <c r="C2" s="4" t="s">
        <v>1</v>
      </c>
      <c r="D2" s="4" t="s">
        <v>2</v>
      </c>
      <c r="E2" s="11" t="s">
        <v>3</v>
      </c>
      <c r="F2" s="9" t="s">
        <v>4</v>
      </c>
      <c r="G2" s="15" t="s">
        <v>165</v>
      </c>
      <c r="H2" s="4" t="s">
        <v>166</v>
      </c>
      <c r="I2" s="4" t="s">
        <v>9</v>
      </c>
      <c r="J2" s="4" t="s">
        <v>10</v>
      </c>
      <c r="K2" s="4" t="s">
        <v>11</v>
      </c>
      <c r="M2" s="7" t="s">
        <v>171</v>
      </c>
    </row>
    <row r="3" spans="2:13" x14ac:dyDescent="0.3">
      <c r="B3" s="1">
        <v>1</v>
      </c>
      <c r="C3" t="s">
        <v>172</v>
      </c>
      <c r="D3" t="s">
        <v>173</v>
      </c>
      <c r="E3" s="10" t="s">
        <v>54</v>
      </c>
      <c r="F3" s="3" t="s">
        <v>162</v>
      </c>
      <c r="G3" s="16">
        <v>46197</v>
      </c>
      <c r="H3" s="6">
        <f ca="1">Table24[[#This Row],[Deadline]]-TODAY()</f>
        <v>28</v>
      </c>
      <c r="I3" t="s">
        <v>175</v>
      </c>
      <c r="J3" t="s">
        <v>176</v>
      </c>
      <c r="K3" t="s">
        <v>177</v>
      </c>
      <c r="M3" s="1">
        <f ca="1">COUNTA(Table24[Days Left to Apply])</f>
        <v>10</v>
      </c>
    </row>
    <row r="4" spans="2:13" x14ac:dyDescent="0.3">
      <c r="B4" s="1">
        <v>2</v>
      </c>
      <c r="C4" t="s">
        <v>178</v>
      </c>
      <c r="D4" t="s">
        <v>179</v>
      </c>
      <c r="E4" s="10" t="s">
        <v>54</v>
      </c>
      <c r="F4" s="3" t="s">
        <v>161</v>
      </c>
      <c r="G4" s="16">
        <v>46196</v>
      </c>
      <c r="H4" s="6">
        <f ca="1">Table24[[#This Row],[Deadline]]-TODAY()</f>
        <v>27</v>
      </c>
      <c r="I4" t="s">
        <v>182</v>
      </c>
      <c r="J4" t="s">
        <v>183</v>
      </c>
      <c r="K4" t="s">
        <v>184</v>
      </c>
    </row>
    <row r="5" spans="2:13" x14ac:dyDescent="0.3">
      <c r="B5" s="1">
        <v>3</v>
      </c>
      <c r="C5" t="s">
        <v>185</v>
      </c>
      <c r="D5" t="s">
        <v>186</v>
      </c>
      <c r="E5" s="10" t="s">
        <v>187</v>
      </c>
      <c r="F5" s="3" t="s">
        <v>162</v>
      </c>
      <c r="G5" s="16">
        <v>46197</v>
      </c>
      <c r="H5" s="6">
        <f ca="1">Table24[[#This Row],[Deadline]]-TODAY()</f>
        <v>28</v>
      </c>
      <c r="I5" t="s">
        <v>144</v>
      </c>
      <c r="J5" t="s">
        <v>189</v>
      </c>
      <c r="K5" t="s">
        <v>190</v>
      </c>
    </row>
    <row r="6" spans="2:13" x14ac:dyDescent="0.3">
      <c r="B6" s="1">
        <v>4</v>
      </c>
      <c r="C6" t="s">
        <v>191</v>
      </c>
      <c r="D6" t="s">
        <v>192</v>
      </c>
      <c r="E6" s="10" t="s">
        <v>193</v>
      </c>
      <c r="F6" s="3" t="s">
        <v>161</v>
      </c>
      <c r="G6" s="16">
        <v>46198</v>
      </c>
      <c r="H6" s="6">
        <f ca="1">Table24[[#This Row],[Deadline]]-TODAY()</f>
        <v>29</v>
      </c>
      <c r="I6" t="s">
        <v>195</v>
      </c>
      <c r="J6" t="s">
        <v>196</v>
      </c>
      <c r="K6" t="s">
        <v>197</v>
      </c>
    </row>
    <row r="7" spans="2:13" x14ac:dyDescent="0.3">
      <c r="B7" s="1">
        <v>5</v>
      </c>
      <c r="C7" t="s">
        <v>198</v>
      </c>
      <c r="D7" t="s">
        <v>158</v>
      </c>
      <c r="E7" s="10" t="s">
        <v>26</v>
      </c>
      <c r="F7" s="3" t="s">
        <v>26</v>
      </c>
      <c r="G7" s="16">
        <v>46199</v>
      </c>
      <c r="H7" s="6">
        <f ca="1">Table24[[#This Row],[Deadline]]-TODAY()</f>
        <v>30</v>
      </c>
      <c r="I7" t="s">
        <v>200</v>
      </c>
      <c r="J7" t="s">
        <v>201</v>
      </c>
      <c r="K7" t="s">
        <v>202</v>
      </c>
    </row>
    <row r="8" spans="2:13" x14ac:dyDescent="0.3">
      <c r="B8" s="1">
        <v>6</v>
      </c>
      <c r="C8" t="s">
        <v>203</v>
      </c>
      <c r="D8" t="s">
        <v>204</v>
      </c>
      <c r="E8" s="10" t="s">
        <v>54</v>
      </c>
      <c r="F8" s="3" t="s">
        <v>161</v>
      </c>
      <c r="G8" s="16">
        <v>46200</v>
      </c>
      <c r="H8" s="6">
        <f ca="1">Table24[[#This Row],[Deadline]]-TODAY()</f>
        <v>31</v>
      </c>
      <c r="I8" t="s">
        <v>205</v>
      </c>
      <c r="J8" t="s">
        <v>206</v>
      </c>
      <c r="K8" t="s">
        <v>207</v>
      </c>
    </row>
    <row r="9" spans="2:13" x14ac:dyDescent="0.3">
      <c r="B9" s="1">
        <v>7</v>
      </c>
      <c r="C9" t="s">
        <v>208</v>
      </c>
      <c r="D9" t="s">
        <v>209</v>
      </c>
      <c r="E9" s="10" t="s">
        <v>26</v>
      </c>
      <c r="F9" s="3" t="s">
        <v>26</v>
      </c>
      <c r="G9" s="16">
        <v>46201</v>
      </c>
      <c r="H9" s="6">
        <f ca="1">Table24[[#This Row],[Deadline]]-TODAY()</f>
        <v>32</v>
      </c>
      <c r="I9" t="s">
        <v>144</v>
      </c>
      <c r="J9" t="s">
        <v>211</v>
      </c>
      <c r="K9" t="s">
        <v>212</v>
      </c>
    </row>
    <row r="10" spans="2:13" x14ac:dyDescent="0.3">
      <c r="B10" s="1">
        <v>8</v>
      </c>
      <c r="C10" t="s">
        <v>213</v>
      </c>
      <c r="D10" t="s">
        <v>214</v>
      </c>
      <c r="E10" s="10" t="s">
        <v>54</v>
      </c>
      <c r="F10" s="3" t="s">
        <v>162</v>
      </c>
      <c r="G10" s="16">
        <v>46202</v>
      </c>
      <c r="H10" s="6">
        <f ca="1">Table24[[#This Row],[Deadline]]-TODAY()</f>
        <v>33</v>
      </c>
      <c r="I10" t="s">
        <v>110</v>
      </c>
      <c r="J10" t="s">
        <v>215</v>
      </c>
      <c r="K10" t="s">
        <v>216</v>
      </c>
    </row>
    <row r="11" spans="2:13" x14ac:dyDescent="0.3">
      <c r="B11" s="1">
        <v>9</v>
      </c>
      <c r="C11" t="s">
        <v>217</v>
      </c>
      <c r="D11" t="s">
        <v>218</v>
      </c>
      <c r="E11" s="10" t="s">
        <v>54</v>
      </c>
      <c r="F11" s="3" t="s">
        <v>161</v>
      </c>
      <c r="G11" s="16">
        <v>46203</v>
      </c>
      <c r="H11" s="6">
        <f ca="1">Table24[[#This Row],[Deadline]]-TODAY()</f>
        <v>34</v>
      </c>
      <c r="I11" t="s">
        <v>21</v>
      </c>
      <c r="J11" t="s">
        <v>220</v>
      </c>
      <c r="K11" t="s">
        <v>221</v>
      </c>
    </row>
    <row r="12" spans="2:13" x14ac:dyDescent="0.3">
      <c r="B12" s="1">
        <v>10</v>
      </c>
      <c r="C12" t="s">
        <v>222</v>
      </c>
      <c r="D12" t="s">
        <v>60</v>
      </c>
      <c r="E12" s="10" t="s">
        <v>61</v>
      </c>
      <c r="F12" s="3" t="s">
        <v>161</v>
      </c>
      <c r="G12" s="16">
        <v>46204</v>
      </c>
      <c r="H12" s="6">
        <f ca="1">Table24[[#This Row],[Deadline]]-TODAY()</f>
        <v>35</v>
      </c>
      <c r="I12" t="s">
        <v>104</v>
      </c>
      <c r="J12" t="s">
        <v>224</v>
      </c>
      <c r="K12" t="s">
        <v>225</v>
      </c>
    </row>
    <row r="13" spans="2:13" x14ac:dyDescent="0.3">
      <c r="H13">
        <v>1</v>
      </c>
    </row>
  </sheetData>
  <conditionalFormatting sqref="H3:H12">
    <cfRule type="colorScale" priority="1">
      <colorScale>
        <cfvo type="min"/>
        <cfvo type="max"/>
        <color rgb="FF63BE7B"/>
        <color rgb="FFFFEF9C"/>
      </colorScale>
    </cfRule>
    <cfRule type="cellIs" dxfId="6" priority="3" operator="lessThan">
      <formula>10</formula>
    </cfRule>
    <cfRule type="cellIs" dxfId="5" priority="5" operator="greaterThan">
      <formula>10</formula>
    </cfRule>
    <cfRule type="top10" dxfId="4" priority="6" percent="1" rank="10"/>
  </conditionalFormatting>
  <conditionalFormatting sqref="H8:H12">
    <cfRule type="cellIs" dxfId="3" priority="2" operator="lessThan">
      <formula>6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11FB-7A9C-6245-8519-7AED11C115AE}">
  <dimension ref="B2:P42"/>
  <sheetViews>
    <sheetView zoomScale="24" zoomScaleNormal="95" workbookViewId="0">
      <selection activeCell="O19" sqref="O19"/>
    </sheetView>
  </sheetViews>
  <sheetFormatPr defaultColWidth="11.19921875" defaultRowHeight="15.6" x14ac:dyDescent="0.3"/>
  <cols>
    <col min="1" max="1" width="4" customWidth="1"/>
    <col min="2" max="2" width="4.296875" style="1" customWidth="1"/>
    <col min="4" max="4" width="23.5" bestFit="1" customWidth="1"/>
    <col min="5" max="5" width="16.296875" bestFit="1" customWidth="1"/>
    <col min="6" max="6" width="10.796875" style="2"/>
    <col min="7" max="7" width="13.296875" style="1" customWidth="1"/>
    <col min="9" max="9" width="15.296875" style="1" customWidth="1"/>
    <col min="10" max="10" width="15.296875" customWidth="1"/>
    <col min="11" max="11" width="13.296875" customWidth="1"/>
    <col min="12" max="12" width="13.19921875" customWidth="1"/>
    <col min="13" max="13" width="34.796875" bestFit="1" customWidth="1"/>
    <col min="15" max="15" width="17.8984375" bestFit="1" customWidth="1"/>
    <col min="16" max="16" width="11.19921875" style="1"/>
  </cols>
  <sheetData>
    <row r="2" spans="15:16" x14ac:dyDescent="0.3">
      <c r="O2" s="8" t="s">
        <v>169</v>
      </c>
    </row>
    <row r="3" spans="15:16" x14ac:dyDescent="0.3">
      <c r="O3" t="s">
        <v>55</v>
      </c>
      <c r="P3" s="1">
        <f>COUNTIF(Table1[Status],O3)</f>
        <v>6</v>
      </c>
    </row>
    <row r="4" spans="15:16" x14ac:dyDescent="0.3">
      <c r="O4" t="s">
        <v>167</v>
      </c>
      <c r="P4" s="1">
        <f>COUNTIF(Table1[Status],O4)</f>
        <v>6</v>
      </c>
    </row>
    <row r="5" spans="15:16" x14ac:dyDescent="0.3">
      <c r="O5" t="s">
        <v>168</v>
      </c>
      <c r="P5" s="1">
        <f>COUNTIF(Table1[Status],O5)</f>
        <v>3</v>
      </c>
    </row>
    <row r="6" spans="15:16" x14ac:dyDescent="0.3">
      <c r="O6" t="s">
        <v>33</v>
      </c>
      <c r="P6" s="1">
        <f>COUNTIF(Table1[Status],O6)</f>
        <v>3</v>
      </c>
    </row>
    <row r="7" spans="15:16" x14ac:dyDescent="0.3">
      <c r="O7" t="s">
        <v>47</v>
      </c>
      <c r="P7" s="1">
        <f>COUNTIF(Table1[Status],O7)</f>
        <v>7</v>
      </c>
    </row>
    <row r="8" spans="15:16" x14ac:dyDescent="0.3">
      <c r="O8" s="8" t="s">
        <v>171</v>
      </c>
      <c r="P8" s="7">
        <f>SUM(P3:P7)</f>
        <v>25</v>
      </c>
    </row>
    <row r="9" spans="15:16" x14ac:dyDescent="0.3">
      <c r="O9" t="s">
        <v>227</v>
      </c>
      <c r="P9" s="1">
        <f>SUM(P3:P6)</f>
        <v>18</v>
      </c>
    </row>
    <row r="11" spans="15:16" x14ac:dyDescent="0.3">
      <c r="O11" s="8" t="s">
        <v>228</v>
      </c>
    </row>
    <row r="12" spans="15:16" x14ac:dyDescent="0.3">
      <c r="O12" t="str" cm="1">
        <f t="array" ref="O12:O15">_xlfn.UNIQUE(Table1[Job Type])</f>
        <v>In-Person</v>
      </c>
      <c r="P12" s="1">
        <f>COUNTIF(Table1[Job Type],O12)</f>
        <v>14</v>
      </c>
    </row>
    <row r="13" spans="15:16" x14ac:dyDescent="0.3">
      <c r="O13" t="str">
        <v>Remote</v>
      </c>
      <c r="P13" s="1">
        <f>COUNTIF(Table1[Job Type],O13)</f>
        <v>7</v>
      </c>
    </row>
    <row r="14" spans="15:16" x14ac:dyDescent="0.3">
      <c r="O14" t="str">
        <v>Travel</v>
      </c>
      <c r="P14" s="1">
        <f>COUNTIF(Table1[Job Type],O14)</f>
        <v>3</v>
      </c>
    </row>
    <row r="15" spans="15:16" x14ac:dyDescent="0.3">
      <c r="O15" t="str">
        <v>Hybrid</v>
      </c>
      <c r="P15" s="1">
        <f>COUNTIF(Table1[Job Type],O15)</f>
        <v>1</v>
      </c>
    </row>
    <row r="17" spans="2:13" x14ac:dyDescent="0.3">
      <c r="B17" s="5" t="s">
        <v>0</v>
      </c>
      <c r="C17" s="4" t="s">
        <v>1</v>
      </c>
      <c r="D17" s="4" t="s">
        <v>2</v>
      </c>
      <c r="E17" s="4" t="s">
        <v>3</v>
      </c>
      <c r="F17" s="9" t="s">
        <v>4</v>
      </c>
      <c r="G17" s="5" t="s">
        <v>5</v>
      </c>
      <c r="H17" s="4" t="s">
        <v>6</v>
      </c>
      <c r="I17" s="5" t="s">
        <v>7</v>
      </c>
      <c r="J17" s="4" t="s">
        <v>8</v>
      </c>
      <c r="K17" s="4" t="s">
        <v>9</v>
      </c>
      <c r="L17" s="4" t="s">
        <v>226</v>
      </c>
      <c r="M17" s="4" t="s">
        <v>11</v>
      </c>
    </row>
    <row r="18" spans="2:13" x14ac:dyDescent="0.3">
      <c r="B18" s="1">
        <v>1</v>
      </c>
      <c r="C18" t="s">
        <v>12</v>
      </c>
      <c r="D18" t="s">
        <v>13</v>
      </c>
      <c r="E18" t="s">
        <v>14</v>
      </c>
      <c r="F18" s="2" t="s">
        <v>161</v>
      </c>
      <c r="G18" s="3">
        <v>46113</v>
      </c>
      <c r="H18" t="s">
        <v>55</v>
      </c>
      <c r="I18" s="3">
        <f>Table1[[#This Row],[Date Applied]]+14</f>
        <v>46127</v>
      </c>
      <c r="J18" t="s">
        <v>164</v>
      </c>
      <c r="K18" t="s">
        <v>164</v>
      </c>
      <c r="L18" t="s">
        <v>15</v>
      </c>
      <c r="M18" t="s">
        <v>16</v>
      </c>
    </row>
    <row r="19" spans="2:13" x14ac:dyDescent="0.3">
      <c r="B19" s="1">
        <v>2</v>
      </c>
      <c r="C19" t="s">
        <v>17</v>
      </c>
      <c r="D19" t="s">
        <v>18</v>
      </c>
      <c r="E19" t="s">
        <v>19</v>
      </c>
      <c r="F19" s="2" t="s">
        <v>161</v>
      </c>
      <c r="G19" s="3">
        <v>46108</v>
      </c>
      <c r="H19" t="s">
        <v>167</v>
      </c>
      <c r="I19" s="3">
        <f>Table1[[#This Row],[Date Applied]]+14</f>
        <v>46122</v>
      </c>
      <c r="J19" t="s">
        <v>20</v>
      </c>
      <c r="K19" t="s">
        <v>164</v>
      </c>
      <c r="L19" t="s">
        <v>22</v>
      </c>
      <c r="M19" t="s">
        <v>23</v>
      </c>
    </row>
    <row r="20" spans="2:13" x14ac:dyDescent="0.3">
      <c r="B20" s="1">
        <v>3</v>
      </c>
      <c r="C20" t="s">
        <v>24</v>
      </c>
      <c r="D20" t="s">
        <v>25</v>
      </c>
      <c r="E20" t="s">
        <v>26</v>
      </c>
      <c r="F20" s="2" t="s">
        <v>26</v>
      </c>
      <c r="G20" s="3">
        <v>46101</v>
      </c>
      <c r="H20" t="s">
        <v>168</v>
      </c>
      <c r="I20" s="3">
        <f>Table1[[#This Row],[Date Applied]]+14</f>
        <v>46115</v>
      </c>
      <c r="J20" t="s">
        <v>164</v>
      </c>
      <c r="K20" t="s">
        <v>27</v>
      </c>
      <c r="L20" t="s">
        <v>28</v>
      </c>
      <c r="M20" t="s">
        <v>29</v>
      </c>
    </row>
    <row r="21" spans="2:13" x14ac:dyDescent="0.3">
      <c r="B21" s="1">
        <v>4</v>
      </c>
      <c r="C21" t="s">
        <v>30</v>
      </c>
      <c r="D21" t="s">
        <v>31</v>
      </c>
      <c r="E21" t="s">
        <v>32</v>
      </c>
      <c r="F21" s="2" t="s">
        <v>161</v>
      </c>
      <c r="G21" s="3">
        <v>46095</v>
      </c>
      <c r="H21" t="s">
        <v>33</v>
      </c>
      <c r="I21" s="3">
        <f>Table1[[#This Row],[Date Applied]]+14</f>
        <v>46109</v>
      </c>
      <c r="J21" t="s">
        <v>34</v>
      </c>
      <c r="K21" t="s">
        <v>35</v>
      </c>
      <c r="L21" t="s">
        <v>36</v>
      </c>
      <c r="M21" t="s">
        <v>37</v>
      </c>
    </row>
    <row r="22" spans="2:13" x14ac:dyDescent="0.3">
      <c r="B22" s="1">
        <v>5</v>
      </c>
      <c r="C22" s="10" t="s">
        <v>38</v>
      </c>
      <c r="D22" t="s">
        <v>39</v>
      </c>
      <c r="E22" t="s">
        <v>26</v>
      </c>
      <c r="F22" s="2" t="s">
        <v>26</v>
      </c>
      <c r="G22" s="3">
        <v>46110</v>
      </c>
      <c r="H22" t="s">
        <v>167</v>
      </c>
      <c r="I22" s="3">
        <f>Table1[[#This Row],[Date Applied]]+14</f>
        <v>46124</v>
      </c>
      <c r="J22" t="s">
        <v>40</v>
      </c>
      <c r="K22" t="s">
        <v>41</v>
      </c>
      <c r="L22" t="s">
        <v>42</v>
      </c>
      <c r="M22" t="s">
        <v>43</v>
      </c>
    </row>
    <row r="23" spans="2:13" x14ac:dyDescent="0.3">
      <c r="B23" s="1">
        <v>6</v>
      </c>
      <c r="C23" t="s">
        <v>44</v>
      </c>
      <c r="D23" t="s">
        <v>45</v>
      </c>
      <c r="E23" t="s">
        <v>46</v>
      </c>
      <c r="F23" s="2" t="s">
        <v>161</v>
      </c>
      <c r="G23" s="3">
        <v>46090</v>
      </c>
      <c r="H23" t="s">
        <v>55</v>
      </c>
      <c r="I23" s="3">
        <f>Table1[[#This Row],[Date Applied]]+14</f>
        <v>46104</v>
      </c>
      <c r="J23" t="s">
        <v>48</v>
      </c>
      <c r="K23" t="s">
        <v>49</v>
      </c>
      <c r="L23" t="s">
        <v>50</v>
      </c>
      <c r="M23" t="s">
        <v>51</v>
      </c>
    </row>
    <row r="24" spans="2:13" x14ac:dyDescent="0.3">
      <c r="B24" s="1">
        <v>7</v>
      </c>
      <c r="C24" t="s">
        <v>52</v>
      </c>
      <c r="D24" t="s">
        <v>53</v>
      </c>
      <c r="E24" t="s">
        <v>54</v>
      </c>
      <c r="F24" s="2" t="s">
        <v>161</v>
      </c>
      <c r="G24" s="3">
        <v>46112</v>
      </c>
      <c r="H24" t="s">
        <v>55</v>
      </c>
      <c r="I24" s="3">
        <f>Table1[[#This Row],[Date Applied]]+14</f>
        <v>46126</v>
      </c>
      <c r="J24" t="s">
        <v>164</v>
      </c>
      <c r="K24" t="s">
        <v>56</v>
      </c>
      <c r="L24" t="s">
        <v>57</v>
      </c>
      <c r="M24" t="s">
        <v>58</v>
      </c>
    </row>
    <row r="25" spans="2:13" x14ac:dyDescent="0.3">
      <c r="B25" s="1">
        <v>8</v>
      </c>
      <c r="C25" t="s">
        <v>59</v>
      </c>
      <c r="D25" t="s">
        <v>60</v>
      </c>
      <c r="E25" t="s">
        <v>61</v>
      </c>
      <c r="F25" s="2" t="s">
        <v>161</v>
      </c>
      <c r="G25" s="3">
        <v>46105</v>
      </c>
      <c r="H25" t="s">
        <v>55</v>
      </c>
      <c r="I25" s="3">
        <f>Table1[[#This Row],[Date Applied]]+14</f>
        <v>46119</v>
      </c>
      <c r="J25" t="s">
        <v>164</v>
      </c>
      <c r="K25" t="s">
        <v>62</v>
      </c>
      <c r="L25" t="s">
        <v>63</v>
      </c>
      <c r="M25" t="s">
        <v>64</v>
      </c>
    </row>
    <row r="26" spans="2:13" x14ac:dyDescent="0.3">
      <c r="B26" s="1">
        <v>9</v>
      </c>
      <c r="C26" t="s">
        <v>65</v>
      </c>
      <c r="D26" t="s">
        <v>66</v>
      </c>
      <c r="E26" t="s">
        <v>67</v>
      </c>
      <c r="F26" s="2" t="s">
        <v>170</v>
      </c>
      <c r="G26" s="3">
        <v>46098</v>
      </c>
      <c r="H26" t="s">
        <v>33</v>
      </c>
      <c r="I26" s="3">
        <f>Table1[[#This Row],[Date Applied]]+14</f>
        <v>46112</v>
      </c>
      <c r="J26" t="s">
        <v>68</v>
      </c>
      <c r="K26" t="s">
        <v>164</v>
      </c>
      <c r="L26" t="s">
        <v>69</v>
      </c>
      <c r="M26" t="s">
        <v>163</v>
      </c>
    </row>
    <row r="27" spans="2:13" ht="19.8" customHeight="1" x14ac:dyDescent="0.3">
      <c r="B27" s="1">
        <v>10</v>
      </c>
      <c r="C27" t="s">
        <v>70</v>
      </c>
      <c r="D27" t="s">
        <v>71</v>
      </c>
      <c r="E27" t="s">
        <v>72</v>
      </c>
      <c r="F27" s="2" t="s">
        <v>170</v>
      </c>
      <c r="G27" s="3">
        <v>46100</v>
      </c>
      <c r="H27" t="s">
        <v>55</v>
      </c>
      <c r="I27" s="3">
        <f>Table1[[#This Row],[Date Applied]]+14</f>
        <v>46114</v>
      </c>
      <c r="J27" t="s">
        <v>73</v>
      </c>
      <c r="K27" t="s">
        <v>164</v>
      </c>
      <c r="L27" t="s">
        <v>74</v>
      </c>
      <c r="M27" t="s">
        <v>75</v>
      </c>
    </row>
    <row r="28" spans="2:13" ht="19.8" customHeight="1" x14ac:dyDescent="0.3">
      <c r="B28" s="1">
        <v>11</v>
      </c>
      <c r="C28" t="s">
        <v>76</v>
      </c>
      <c r="D28" t="s">
        <v>77</v>
      </c>
      <c r="E28" t="s">
        <v>78</v>
      </c>
      <c r="F28" s="2" t="s">
        <v>161</v>
      </c>
      <c r="G28" s="3">
        <v>46087</v>
      </c>
      <c r="H28" t="s">
        <v>55</v>
      </c>
      <c r="I28" s="3">
        <f>Table1[[#This Row],[Date Applied]]+14</f>
        <v>46101</v>
      </c>
      <c r="J28" t="s">
        <v>79</v>
      </c>
      <c r="K28" t="s">
        <v>80</v>
      </c>
      <c r="L28" t="s">
        <v>81</v>
      </c>
      <c r="M28" t="s">
        <v>82</v>
      </c>
    </row>
    <row r="29" spans="2:13" ht="19.8" customHeight="1" x14ac:dyDescent="0.3">
      <c r="B29" s="1">
        <v>12</v>
      </c>
      <c r="C29" t="s">
        <v>83</v>
      </c>
      <c r="D29" t="s">
        <v>84</v>
      </c>
      <c r="E29" t="s">
        <v>54</v>
      </c>
      <c r="F29" s="2" t="s">
        <v>161</v>
      </c>
      <c r="G29" s="3">
        <v>46109</v>
      </c>
      <c r="H29" t="s">
        <v>33</v>
      </c>
      <c r="I29" s="3">
        <f>Table1[[#This Row],[Date Applied]]+14</f>
        <v>46123</v>
      </c>
      <c r="J29" t="s">
        <v>85</v>
      </c>
      <c r="K29" t="s">
        <v>86</v>
      </c>
      <c r="L29" t="s">
        <v>87</v>
      </c>
      <c r="M29" t="s">
        <v>88</v>
      </c>
    </row>
    <row r="30" spans="2:13" ht="19.8" customHeight="1" x14ac:dyDescent="0.3">
      <c r="B30" s="1">
        <v>13</v>
      </c>
      <c r="C30" t="s">
        <v>89</v>
      </c>
      <c r="D30" t="s">
        <v>90</v>
      </c>
      <c r="E30" t="s">
        <v>91</v>
      </c>
      <c r="F30" s="2" t="s">
        <v>170</v>
      </c>
      <c r="G30" s="3">
        <v>46093</v>
      </c>
      <c r="H30" t="s">
        <v>167</v>
      </c>
      <c r="I30" s="3">
        <f>Table1[[#This Row],[Date Applied]]+14</f>
        <v>46107</v>
      </c>
      <c r="J30" t="s">
        <v>164</v>
      </c>
      <c r="K30" t="s">
        <v>92</v>
      </c>
      <c r="L30" t="s">
        <v>93</v>
      </c>
      <c r="M30" t="s">
        <v>94</v>
      </c>
    </row>
    <row r="31" spans="2:13" ht="19.8" customHeight="1" x14ac:dyDescent="0.3">
      <c r="B31" s="1">
        <v>14</v>
      </c>
      <c r="C31" t="s">
        <v>95</v>
      </c>
      <c r="D31" t="s">
        <v>96</v>
      </c>
      <c r="E31" t="s">
        <v>26</v>
      </c>
      <c r="F31" s="2" t="s">
        <v>26</v>
      </c>
      <c r="G31" s="3">
        <v>46106</v>
      </c>
      <c r="H31" t="s">
        <v>167</v>
      </c>
      <c r="I31" s="3">
        <f>Table1[[#This Row],[Date Applied]]+14</f>
        <v>46120</v>
      </c>
      <c r="J31" t="s">
        <v>97</v>
      </c>
      <c r="K31" t="s">
        <v>98</v>
      </c>
      <c r="L31" t="s">
        <v>99</v>
      </c>
      <c r="M31" t="s">
        <v>100</v>
      </c>
    </row>
    <row r="32" spans="2:13" x14ac:dyDescent="0.3">
      <c r="B32" s="1">
        <v>15</v>
      </c>
      <c r="C32" t="s">
        <v>101</v>
      </c>
      <c r="D32" t="s">
        <v>102</v>
      </c>
      <c r="E32" t="s">
        <v>26</v>
      </c>
      <c r="F32" s="2" t="s">
        <v>26</v>
      </c>
      <c r="G32" s="3">
        <v>46097</v>
      </c>
      <c r="H32" t="s">
        <v>168</v>
      </c>
      <c r="I32" s="3">
        <f>Table1[[#This Row],[Date Applied]]+14</f>
        <v>46111</v>
      </c>
      <c r="J32" t="s">
        <v>103</v>
      </c>
      <c r="K32" t="s">
        <v>104</v>
      </c>
      <c r="L32" t="s">
        <v>105</v>
      </c>
      <c r="M32" t="s">
        <v>106</v>
      </c>
    </row>
    <row r="33" spans="2:13" x14ac:dyDescent="0.3">
      <c r="B33" s="1">
        <v>16</v>
      </c>
      <c r="C33" t="s">
        <v>107</v>
      </c>
      <c r="D33" t="s">
        <v>108</v>
      </c>
      <c r="E33" t="s">
        <v>54</v>
      </c>
      <c r="F33" s="2" t="s">
        <v>162</v>
      </c>
      <c r="G33" s="3">
        <v>46111</v>
      </c>
      <c r="H33" t="s">
        <v>167</v>
      </c>
      <c r="I33" s="3">
        <f>Table1[[#This Row],[Date Applied]]+14</f>
        <v>46125</v>
      </c>
      <c r="J33" t="s">
        <v>109</v>
      </c>
      <c r="K33" t="s">
        <v>110</v>
      </c>
      <c r="L33" t="s">
        <v>111</v>
      </c>
      <c r="M33" t="s">
        <v>112</v>
      </c>
    </row>
    <row r="34" spans="2:13" x14ac:dyDescent="0.3">
      <c r="B34" s="1">
        <v>17</v>
      </c>
      <c r="C34" t="s">
        <v>113</v>
      </c>
      <c r="D34" t="s">
        <v>60</v>
      </c>
      <c r="E34" t="s">
        <v>61</v>
      </c>
      <c r="F34" s="2" t="s">
        <v>161</v>
      </c>
      <c r="G34" s="3">
        <v>46089</v>
      </c>
      <c r="H34" t="s">
        <v>168</v>
      </c>
      <c r="I34" s="3">
        <f>Table1[[#This Row],[Date Applied]]+14</f>
        <v>46103</v>
      </c>
      <c r="J34" t="s">
        <v>114</v>
      </c>
      <c r="K34" t="s">
        <v>21</v>
      </c>
      <c r="L34" t="s">
        <v>115</v>
      </c>
      <c r="M34" t="s">
        <v>116</v>
      </c>
    </row>
    <row r="35" spans="2:13" x14ac:dyDescent="0.3">
      <c r="B35" s="1">
        <v>18</v>
      </c>
      <c r="C35" t="s">
        <v>117</v>
      </c>
      <c r="D35" t="s">
        <v>118</v>
      </c>
      <c r="E35" t="s">
        <v>119</v>
      </c>
      <c r="F35" s="2" t="s">
        <v>161</v>
      </c>
      <c r="G35" s="3">
        <v>46102</v>
      </c>
      <c r="H35" t="s">
        <v>47</v>
      </c>
      <c r="I35" s="3">
        <f>Table1[[#This Row],[Date Applied]]+14</f>
        <v>46116</v>
      </c>
      <c r="J35" t="s">
        <v>120</v>
      </c>
      <c r="K35" t="s">
        <v>121</v>
      </c>
      <c r="L35" t="s">
        <v>122</v>
      </c>
      <c r="M35" t="s">
        <v>123</v>
      </c>
    </row>
    <row r="36" spans="2:13" x14ac:dyDescent="0.3">
      <c r="B36" s="1">
        <v>19</v>
      </c>
      <c r="C36" t="s">
        <v>124</v>
      </c>
      <c r="D36" t="s">
        <v>125</v>
      </c>
      <c r="E36" t="s">
        <v>26</v>
      </c>
      <c r="F36" s="2" t="s">
        <v>26</v>
      </c>
      <c r="G36" s="3">
        <v>46107</v>
      </c>
      <c r="H36" t="s">
        <v>47</v>
      </c>
      <c r="I36" s="3">
        <f>Table1[[#This Row],[Date Applied]]+14</f>
        <v>46121</v>
      </c>
      <c r="J36" t="s">
        <v>164</v>
      </c>
      <c r="K36" t="s">
        <v>126</v>
      </c>
      <c r="L36" t="s">
        <v>127</v>
      </c>
      <c r="M36" t="s">
        <v>128</v>
      </c>
    </row>
    <row r="37" spans="2:13" x14ac:dyDescent="0.3">
      <c r="B37" s="1">
        <v>20</v>
      </c>
      <c r="C37" t="s">
        <v>129</v>
      </c>
      <c r="D37" t="s">
        <v>130</v>
      </c>
      <c r="E37" t="s">
        <v>131</v>
      </c>
      <c r="F37" s="2" t="s">
        <v>161</v>
      </c>
      <c r="G37" s="3">
        <v>46104</v>
      </c>
      <c r="H37" t="s">
        <v>47</v>
      </c>
      <c r="I37" s="3">
        <f>Table1[[#This Row],[Date Applied]]+14</f>
        <v>46118</v>
      </c>
      <c r="J37" t="s">
        <v>132</v>
      </c>
      <c r="K37" t="s">
        <v>133</v>
      </c>
      <c r="L37" t="s">
        <v>134</v>
      </c>
      <c r="M37" t="s">
        <v>135</v>
      </c>
    </row>
    <row r="38" spans="2:13" x14ac:dyDescent="0.3">
      <c r="B38" s="1">
        <v>21</v>
      </c>
      <c r="C38" t="s">
        <v>136</v>
      </c>
      <c r="D38" t="s">
        <v>137</v>
      </c>
      <c r="E38" t="s">
        <v>61</v>
      </c>
      <c r="F38" s="2" t="s">
        <v>161</v>
      </c>
      <c r="G38" s="3">
        <v>46096</v>
      </c>
      <c r="H38" t="s">
        <v>47</v>
      </c>
      <c r="I38" s="3">
        <f>Table1[[#This Row],[Date Applied]]+14</f>
        <v>46110</v>
      </c>
      <c r="J38" t="s">
        <v>138</v>
      </c>
      <c r="K38" t="s">
        <v>139</v>
      </c>
      <c r="L38" t="s">
        <v>140</v>
      </c>
      <c r="M38" t="s">
        <v>141</v>
      </c>
    </row>
    <row r="39" spans="2:13" x14ac:dyDescent="0.3">
      <c r="B39" s="1">
        <v>22</v>
      </c>
      <c r="C39" t="s">
        <v>142</v>
      </c>
      <c r="D39" t="s">
        <v>143</v>
      </c>
      <c r="E39" t="s">
        <v>54</v>
      </c>
      <c r="F39" s="2" t="s">
        <v>161</v>
      </c>
      <c r="G39" s="3">
        <v>46099</v>
      </c>
      <c r="H39" t="s">
        <v>47</v>
      </c>
      <c r="I39" s="3">
        <f>Table1[[#This Row],[Date Applied]]+14</f>
        <v>46113</v>
      </c>
      <c r="J39" t="s">
        <v>164</v>
      </c>
      <c r="K39" t="s">
        <v>144</v>
      </c>
      <c r="L39" t="s">
        <v>145</v>
      </c>
      <c r="M39" t="s">
        <v>146</v>
      </c>
    </row>
    <row r="40" spans="2:13" x14ac:dyDescent="0.3">
      <c r="B40" s="1">
        <v>23</v>
      </c>
      <c r="C40" t="s">
        <v>147</v>
      </c>
      <c r="D40" t="s">
        <v>148</v>
      </c>
      <c r="E40" t="s">
        <v>26</v>
      </c>
      <c r="F40" s="2" t="s">
        <v>26</v>
      </c>
      <c r="G40" s="3">
        <v>46110</v>
      </c>
      <c r="H40" t="s">
        <v>47</v>
      </c>
      <c r="I40" s="3">
        <f>Table1[[#This Row],[Date Applied]]+14</f>
        <v>46124</v>
      </c>
      <c r="J40" t="s">
        <v>149</v>
      </c>
      <c r="K40" t="s">
        <v>150</v>
      </c>
      <c r="L40" t="s">
        <v>151</v>
      </c>
      <c r="M40" t="s">
        <v>152</v>
      </c>
    </row>
    <row r="41" spans="2:13" x14ac:dyDescent="0.3">
      <c r="B41" s="1">
        <v>24</v>
      </c>
      <c r="C41" t="s">
        <v>153</v>
      </c>
      <c r="D41" t="s">
        <v>60</v>
      </c>
      <c r="E41" t="s">
        <v>54</v>
      </c>
      <c r="F41" s="2" t="s">
        <v>161</v>
      </c>
      <c r="G41" s="3">
        <v>46103</v>
      </c>
      <c r="H41" t="s">
        <v>47</v>
      </c>
      <c r="I41" s="3">
        <f>Table1[[#This Row],[Date Applied]]+14</f>
        <v>46117</v>
      </c>
      <c r="J41" t="s">
        <v>154</v>
      </c>
      <c r="K41" t="s">
        <v>86</v>
      </c>
      <c r="L41" t="s">
        <v>155</v>
      </c>
      <c r="M41" t="s">
        <v>156</v>
      </c>
    </row>
    <row r="42" spans="2:13" x14ac:dyDescent="0.3">
      <c r="B42" s="1">
        <v>25</v>
      </c>
      <c r="C42" t="s">
        <v>157</v>
      </c>
      <c r="D42" t="s">
        <v>158</v>
      </c>
      <c r="E42" t="s">
        <v>26</v>
      </c>
      <c r="F42" s="2" t="s">
        <v>26</v>
      </c>
      <c r="G42" s="3">
        <v>46112</v>
      </c>
      <c r="H42" t="s">
        <v>167</v>
      </c>
      <c r="I42" s="3">
        <f>Table1[[#This Row],[Date Applied]]+14</f>
        <v>46126</v>
      </c>
      <c r="J42" t="s">
        <v>164</v>
      </c>
      <c r="K42" t="s">
        <v>27</v>
      </c>
      <c r="L42" t="s">
        <v>159</v>
      </c>
      <c r="M42" t="s">
        <v>160</v>
      </c>
    </row>
  </sheetData>
  <conditionalFormatting sqref="H1:H1048576">
    <cfRule type="cellIs" dxfId="2" priority="1" operator="equal">
      <formula>"assessment"</formula>
    </cfRule>
  </conditionalFormatting>
  <conditionalFormatting sqref="H17:H42">
    <cfRule type="cellIs" dxfId="1" priority="4" operator="equal">
      <formula>"Offer"</formula>
    </cfRule>
  </conditionalFormatting>
  <conditionalFormatting sqref="H18:H42">
    <cfRule type="cellIs" dxfId="0" priority="2" operator="equal">
      <formula>"Rejected"</formula>
    </cfRule>
  </conditionalFormatting>
  <dataValidations count="1">
    <dataValidation type="list" allowBlank="1" showInputMessage="1" showErrorMessage="1" sqref="H18:H42" xr:uid="{DF581B40-0624-4A75-86C5-4FFF54502984}">
      <formula1>$O$3:$O$7</formula1>
    </dataValidation>
  </dataValidations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177D-0B8E-4E22-BFD1-A5531AEC6B59}">
  <dimension ref="B2:M12"/>
  <sheetViews>
    <sheetView zoomScale="88" workbookViewId="0">
      <selection activeCell="K18" sqref="K18"/>
    </sheetView>
  </sheetViews>
  <sheetFormatPr defaultColWidth="8.796875" defaultRowHeight="15.6" x14ac:dyDescent="0.3"/>
  <cols>
    <col min="2" max="2" width="5.796875" bestFit="1" customWidth="1"/>
    <col min="3" max="3" width="10.796875" bestFit="1" customWidth="1"/>
    <col min="4" max="4" width="18" customWidth="1"/>
    <col min="5" max="5" width="15.69921875" style="10" bestFit="1" customWidth="1"/>
    <col min="6" max="6" width="8.69921875" bestFit="1" customWidth="1"/>
    <col min="7" max="7" width="12.296875" style="1" bestFit="1" customWidth="1"/>
    <col min="8" max="8" width="17.69921875" bestFit="1" customWidth="1"/>
    <col min="9" max="9" width="13.69921875" bestFit="1" customWidth="1"/>
    <col min="10" max="10" width="23.19921875" bestFit="1" customWidth="1"/>
    <col min="11" max="11" width="35" bestFit="1" customWidth="1"/>
    <col min="13" max="13" width="8.796875" style="1"/>
  </cols>
  <sheetData>
    <row r="2" spans="2:13" x14ac:dyDescent="0.3">
      <c r="B2" s="5" t="s">
        <v>0</v>
      </c>
      <c r="C2" s="4" t="s">
        <v>1</v>
      </c>
      <c r="D2" s="4" t="s">
        <v>2</v>
      </c>
      <c r="E2" s="11" t="s">
        <v>3</v>
      </c>
      <c r="F2" s="9" t="s">
        <v>4</v>
      </c>
      <c r="G2" s="5" t="s">
        <v>165</v>
      </c>
      <c r="H2" s="4" t="s">
        <v>166</v>
      </c>
      <c r="I2" s="4" t="s">
        <v>9</v>
      </c>
      <c r="J2" s="4" t="s">
        <v>10</v>
      </c>
      <c r="K2" s="4" t="s">
        <v>11</v>
      </c>
      <c r="M2" s="7" t="s">
        <v>171</v>
      </c>
    </row>
    <row r="3" spans="2:13" x14ac:dyDescent="0.3">
      <c r="B3" s="1">
        <v>1</v>
      </c>
      <c r="C3" t="s">
        <v>172</v>
      </c>
      <c r="D3" t="s">
        <v>173</v>
      </c>
      <c r="E3" s="10" t="s">
        <v>54</v>
      </c>
      <c r="F3" s="3" t="s">
        <v>162</v>
      </c>
      <c r="G3" s="1" t="s">
        <v>174</v>
      </c>
      <c r="H3" s="6" t="e">
        <f ca="1">Table2[[#This Row],[Deadline]]-TODAY()</f>
        <v>#VALUE!</v>
      </c>
      <c r="I3" t="s">
        <v>175</v>
      </c>
      <c r="J3" t="s">
        <v>176</v>
      </c>
      <c r="K3" t="s">
        <v>177</v>
      </c>
      <c r="M3" s="1">
        <f ca="1">COUNTA(Table2[Days Left to Apply])</f>
        <v>10</v>
      </c>
    </row>
    <row r="4" spans="2:13" x14ac:dyDescent="0.3">
      <c r="B4" s="1">
        <v>2</v>
      </c>
      <c r="C4" t="s">
        <v>178</v>
      </c>
      <c r="D4" t="s">
        <v>179</v>
      </c>
      <c r="E4" s="10" t="s">
        <v>54</v>
      </c>
      <c r="F4" s="3" t="s">
        <v>161</v>
      </c>
      <c r="G4" s="1" t="s">
        <v>181</v>
      </c>
      <c r="H4" s="6" t="e">
        <f ca="1">Table2[[#This Row],[Deadline]]-TODAY()</f>
        <v>#VALUE!</v>
      </c>
      <c r="I4" t="s">
        <v>182</v>
      </c>
      <c r="J4" t="s">
        <v>183</v>
      </c>
      <c r="K4" t="s">
        <v>184</v>
      </c>
    </row>
    <row r="5" spans="2:13" x14ac:dyDescent="0.3">
      <c r="B5" s="1">
        <v>3</v>
      </c>
      <c r="C5" t="s">
        <v>185</v>
      </c>
      <c r="D5" t="s">
        <v>186</v>
      </c>
      <c r="E5" s="10" t="s">
        <v>187</v>
      </c>
      <c r="F5" s="3" t="s">
        <v>162</v>
      </c>
      <c r="G5" s="1" t="s">
        <v>188</v>
      </c>
      <c r="H5" s="6" t="e">
        <f ca="1">Table2[[#This Row],[Deadline]]-TODAY()</f>
        <v>#VALUE!</v>
      </c>
      <c r="I5" t="s">
        <v>144</v>
      </c>
      <c r="J5" t="s">
        <v>189</v>
      </c>
      <c r="K5" t="s">
        <v>190</v>
      </c>
    </row>
    <row r="6" spans="2:13" x14ac:dyDescent="0.3">
      <c r="B6" s="1">
        <v>4</v>
      </c>
      <c r="C6" t="s">
        <v>191</v>
      </c>
      <c r="D6" t="s">
        <v>192</v>
      </c>
      <c r="E6" s="10" t="s">
        <v>193</v>
      </c>
      <c r="F6" s="3" t="s">
        <v>161</v>
      </c>
      <c r="G6" s="1" t="s">
        <v>194</v>
      </c>
      <c r="H6" s="6" t="e">
        <f ca="1">Table2[[#This Row],[Deadline]]-TODAY()</f>
        <v>#VALUE!</v>
      </c>
      <c r="I6" t="s">
        <v>195</v>
      </c>
      <c r="J6" t="s">
        <v>196</v>
      </c>
      <c r="K6" t="s">
        <v>197</v>
      </c>
    </row>
    <row r="7" spans="2:13" x14ac:dyDescent="0.3">
      <c r="B7" s="1">
        <v>5</v>
      </c>
      <c r="C7" t="s">
        <v>198</v>
      </c>
      <c r="D7" t="s">
        <v>158</v>
      </c>
      <c r="E7" s="10" t="s">
        <v>26</v>
      </c>
      <c r="F7" s="3" t="s">
        <v>26</v>
      </c>
      <c r="G7" s="1" t="s">
        <v>199</v>
      </c>
      <c r="H7" s="6" t="e">
        <f ca="1">Table2[[#This Row],[Deadline]]-TODAY()</f>
        <v>#VALUE!</v>
      </c>
      <c r="I7" t="s">
        <v>200</v>
      </c>
      <c r="J7" t="s">
        <v>201</v>
      </c>
      <c r="K7" t="s">
        <v>202</v>
      </c>
    </row>
    <row r="8" spans="2:13" x14ac:dyDescent="0.3">
      <c r="B8" s="1">
        <v>6</v>
      </c>
      <c r="C8" t="s">
        <v>203</v>
      </c>
      <c r="D8" t="s">
        <v>204</v>
      </c>
      <c r="E8" s="10" t="s">
        <v>54</v>
      </c>
      <c r="F8" s="3" t="s">
        <v>161</v>
      </c>
      <c r="G8" s="1" t="s">
        <v>180</v>
      </c>
      <c r="H8" s="6" t="e">
        <f ca="1">Table2[[#This Row],[Deadline]]-TODAY()</f>
        <v>#VALUE!</v>
      </c>
      <c r="I8" t="s">
        <v>205</v>
      </c>
      <c r="J8" t="s">
        <v>206</v>
      </c>
      <c r="K8" t="s">
        <v>207</v>
      </c>
    </row>
    <row r="9" spans="2:13" x14ac:dyDescent="0.3">
      <c r="B9" s="1">
        <v>7</v>
      </c>
      <c r="C9" t="s">
        <v>208</v>
      </c>
      <c r="D9" t="s">
        <v>209</v>
      </c>
      <c r="E9" s="10" t="s">
        <v>26</v>
      </c>
      <c r="F9" s="3" t="s">
        <v>26</v>
      </c>
      <c r="G9" s="1" t="s">
        <v>210</v>
      </c>
      <c r="H9" s="6" t="e">
        <f ca="1">Table2[[#This Row],[Deadline]]-TODAY()</f>
        <v>#VALUE!</v>
      </c>
      <c r="I9" t="s">
        <v>144</v>
      </c>
      <c r="J9" t="s">
        <v>211</v>
      </c>
      <c r="K9" t="s">
        <v>212</v>
      </c>
    </row>
    <row r="10" spans="2:13" x14ac:dyDescent="0.3">
      <c r="B10" s="1">
        <v>8</v>
      </c>
      <c r="C10" t="s">
        <v>213</v>
      </c>
      <c r="D10" t="s">
        <v>214</v>
      </c>
      <c r="E10" s="10" t="s">
        <v>54</v>
      </c>
      <c r="F10" s="3" t="s">
        <v>162</v>
      </c>
      <c r="G10" s="1" t="s">
        <v>174</v>
      </c>
      <c r="H10" s="6" t="e">
        <f ca="1">Table2[[#This Row],[Deadline]]-TODAY()</f>
        <v>#VALUE!</v>
      </c>
      <c r="I10" t="s">
        <v>110</v>
      </c>
      <c r="J10" t="s">
        <v>215</v>
      </c>
      <c r="K10" t="s">
        <v>216</v>
      </c>
    </row>
    <row r="11" spans="2:13" x14ac:dyDescent="0.3">
      <c r="B11" s="1">
        <v>9</v>
      </c>
      <c r="C11" t="s">
        <v>217</v>
      </c>
      <c r="D11" t="s">
        <v>218</v>
      </c>
      <c r="E11" s="10" t="s">
        <v>54</v>
      </c>
      <c r="F11" s="3" t="s">
        <v>161</v>
      </c>
      <c r="G11" s="1" t="s">
        <v>219</v>
      </c>
      <c r="H11" s="6" t="e">
        <f ca="1">Table2[[#This Row],[Deadline]]-TODAY()</f>
        <v>#VALUE!</v>
      </c>
      <c r="I11" t="s">
        <v>21</v>
      </c>
      <c r="J11" t="s">
        <v>220</v>
      </c>
      <c r="K11" t="s">
        <v>221</v>
      </c>
    </row>
    <row r="12" spans="2:13" x14ac:dyDescent="0.3">
      <c r="B12" s="1">
        <v>10</v>
      </c>
      <c r="C12" t="s">
        <v>222</v>
      </c>
      <c r="D12" t="s">
        <v>60</v>
      </c>
      <c r="E12" s="10" t="s">
        <v>61</v>
      </c>
      <c r="F12" s="3" t="s">
        <v>161</v>
      </c>
      <c r="G12" s="1" t="s">
        <v>223</v>
      </c>
      <c r="H12" s="6" t="e">
        <f ca="1">Table2[[#This Row],[Deadline]]-TODAY()</f>
        <v>#VALUE!</v>
      </c>
      <c r="I12" t="s">
        <v>104</v>
      </c>
      <c r="J12" t="s">
        <v>224</v>
      </c>
      <c r="K12" t="s">
        <v>225</v>
      </c>
    </row>
  </sheetData>
  <conditionalFormatting sqref="H3:H12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Applied</vt:lpstr>
      <vt:lpstr>Start Pending</vt:lpstr>
      <vt:lpstr>End Applied</vt:lpstr>
      <vt:lpstr>End 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justin bhargav</cp:lastModifiedBy>
  <dcterms:created xsi:type="dcterms:W3CDTF">2026-04-05T10:11:34Z</dcterms:created>
  <dcterms:modified xsi:type="dcterms:W3CDTF">2026-05-26T19:19:56Z</dcterms:modified>
</cp:coreProperties>
</file>